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00000000-0000-0000-0000-000000000000}"/>
  <workbookPr codeName="ThisWorkbook"/>
  <mc:AlternateContent xmlns:mc="http://schemas.openxmlformats.org/markup-compatibility/2006">
    <mc:Choice Requires="x15">
      <x15ac:absPath xmlns:x15ac="http://schemas.microsoft.com/office/spreadsheetml/2010/11/ac" url="\\wsl.localhost\Ubuntu\home\stutiayak\dev-atlas\aurelius\k8s\"/>
    </mc:Choice>
  </mc:AlternateContent>
  <xr:revisionPtr revIDLastSave="0" documentId="13_ncr:1_{ED771531-38D3-4F0D-BD7C-AD1A79124742}" xr6:coauthVersionLast="47" xr6:coauthVersionMax="47" xr10:uidLastSave="{00000000-0000-0000-0000-000000000000}"/>
  <bookViews>
    <workbookView xWindow="-38510" yWindow="-4920" windowWidth="38620" windowHeight="21100" tabRatio="808" firstSheet="3" activeTab="5" xr2:uid="{00000000-000D-0000-FFFF-FFFF00000000}"/>
  </bookViews>
  <sheets>
    <sheet name="Cover" sheetId="17" r:id="rId1"/>
    <sheet name="Version Control" sheetId="18" r:id="rId2"/>
    <sheet name="Meta Model &amp; Glossary" sheetId="23" r:id="rId3"/>
    <sheet name="Conceptual Data Model" sheetId="24" r:id="rId4"/>
    <sheet name="1. L1 Data Domains" sheetId="1" r:id="rId5"/>
    <sheet name="2. L2 Data Entities" sheetId="2" r:id="rId6"/>
    <sheet name="3. L3 Data Attributes" sheetId="3" r:id="rId7"/>
    <sheet name="4. L4 Fields" sheetId="9" r:id="rId8"/>
    <sheet name="5. L5 Content Structure" sheetId="15" r:id="rId9"/>
    <sheet name="7. Define sys, collect. &amp; datas" sheetId="10" r:id="rId10"/>
    <sheet name="6. Data Quality Rulebook" sheetId="11" r:id="rId11"/>
    <sheet name="9. Person Table" sheetId="16" r:id="rId12"/>
    <sheet name="10. Maintenance" sheetId="19" r:id="rId13"/>
    <sheet name="11. Data Quality Glossary" sheetId="22" r:id="rId14"/>
    <sheet name="12. Process" sheetId="26" r:id="rId15"/>
  </sheets>
  <definedNames>
    <definedName name="Domain_name" localSheetId="14">Table2[Domain name]</definedName>
    <definedName name="Domain_name">Table2[Domain name]</definedName>
    <definedName name="ID" localSheetId="14">Table2[[#Headers],[ID]]</definedName>
    <definedName name="ID">Table2[[#Headers],[ID]]</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2" l="1"/>
  <c r="E2" i="2"/>
  <c r="K90" i="9" l="1"/>
  <c r="K91" i="9"/>
  <c r="K92" i="9"/>
  <c r="K93" i="9"/>
  <c r="K94" i="9"/>
  <c r="K95" i="9"/>
  <c r="K96" i="9"/>
  <c r="K97" i="9"/>
  <c r="K98" i="9"/>
  <c r="K99" i="9"/>
  <c r="K100" i="9"/>
  <c r="K101" i="9"/>
  <c r="K102" i="9"/>
  <c r="K103" i="9"/>
  <c r="K104" i="9"/>
  <c r="K105" i="9"/>
  <c r="K106" i="9"/>
  <c r="K107" i="9"/>
  <c r="K108" i="9"/>
  <c r="K109" i="9"/>
  <c r="F90" i="9"/>
  <c r="H90" i="9"/>
  <c r="J90" i="9"/>
  <c r="M90" i="9"/>
  <c r="N90" i="9" s="1"/>
  <c r="F91" i="9"/>
  <c r="H91" i="9"/>
  <c r="J91" i="9"/>
  <c r="M91" i="9"/>
  <c r="N91" i="9" s="1"/>
  <c r="F92" i="9"/>
  <c r="H92" i="9"/>
  <c r="J92" i="9"/>
  <c r="M92" i="9"/>
  <c r="N92" i="9" s="1"/>
  <c r="F93" i="9"/>
  <c r="H93" i="9"/>
  <c r="J93" i="9"/>
  <c r="M93" i="9"/>
  <c r="N93" i="9" s="1"/>
  <c r="F94" i="9"/>
  <c r="H94" i="9"/>
  <c r="J94" i="9"/>
  <c r="M94" i="9"/>
  <c r="N94" i="9" s="1"/>
  <c r="F95" i="9"/>
  <c r="H95" i="9"/>
  <c r="J95" i="9"/>
  <c r="M95" i="9"/>
  <c r="N95" i="9" s="1"/>
  <c r="F96" i="9"/>
  <c r="H96" i="9"/>
  <c r="J96" i="9"/>
  <c r="M96" i="9"/>
  <c r="N96" i="9" s="1"/>
  <c r="F97" i="9"/>
  <c r="H97" i="9"/>
  <c r="J97" i="9"/>
  <c r="M97" i="9"/>
  <c r="N97" i="9" s="1"/>
  <c r="F98" i="9"/>
  <c r="H98" i="9"/>
  <c r="J98" i="9"/>
  <c r="M98" i="9"/>
  <c r="N98" i="9" s="1"/>
  <c r="F99" i="9"/>
  <c r="H99" i="9"/>
  <c r="J99" i="9"/>
  <c r="M99" i="9"/>
  <c r="N99" i="9" s="1"/>
  <c r="F100" i="9"/>
  <c r="H100" i="9"/>
  <c r="J100" i="9"/>
  <c r="M100" i="9"/>
  <c r="N100" i="9" s="1"/>
  <c r="F101" i="9"/>
  <c r="H101" i="9"/>
  <c r="J101" i="9"/>
  <c r="M101" i="9"/>
  <c r="N101" i="9" s="1"/>
  <c r="F102" i="9"/>
  <c r="H102" i="9"/>
  <c r="J102" i="9"/>
  <c r="M102" i="9"/>
  <c r="N102" i="9" s="1"/>
  <c r="F103" i="9"/>
  <c r="H103" i="9"/>
  <c r="J103" i="9"/>
  <c r="M103" i="9"/>
  <c r="N103" i="9" s="1"/>
  <c r="F104" i="9"/>
  <c r="H104" i="9"/>
  <c r="J104" i="9"/>
  <c r="M104" i="9"/>
  <c r="N104" i="9" s="1"/>
  <c r="F105" i="9"/>
  <c r="H105" i="9"/>
  <c r="J105" i="9"/>
  <c r="M105" i="9"/>
  <c r="N105" i="9" s="1"/>
  <c r="F106" i="9"/>
  <c r="H106" i="9"/>
  <c r="J106" i="9"/>
  <c r="M106" i="9"/>
  <c r="N106" i="9" s="1"/>
  <c r="F107" i="9"/>
  <c r="H107" i="9"/>
  <c r="J107" i="9"/>
  <c r="M107" i="9"/>
  <c r="N107" i="9" s="1"/>
  <c r="F108" i="9"/>
  <c r="H108" i="9"/>
  <c r="J108" i="9"/>
  <c r="M108" i="9"/>
  <c r="N108" i="9" s="1"/>
  <c r="F109" i="9"/>
  <c r="H109" i="9"/>
  <c r="J109" i="9"/>
  <c r="M109" i="9"/>
  <c r="N109" i="9" s="1"/>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J55" i="9"/>
  <c r="J56" i="9"/>
  <c r="J57" i="9"/>
  <c r="J58" i="9"/>
  <c r="J59" i="9"/>
  <c r="J60" i="9"/>
  <c r="J61" i="9"/>
  <c r="J62" i="9"/>
  <c r="J63" i="9"/>
  <c r="J64" i="9"/>
  <c r="J65" i="9"/>
  <c r="J66" i="9"/>
  <c r="J67" i="9"/>
  <c r="J68" i="9"/>
  <c r="J69" i="9"/>
  <c r="J70" i="9"/>
  <c r="J71" i="9"/>
  <c r="J72" i="9"/>
  <c r="J73" i="9"/>
  <c r="J74" i="9"/>
  <c r="J75" i="9"/>
  <c r="J76" i="9"/>
  <c r="J77" i="9"/>
  <c r="J78" i="9"/>
  <c r="J79" i="9"/>
  <c r="J80" i="9"/>
  <c r="J81" i="9"/>
  <c r="J82" i="9"/>
  <c r="J83" i="9"/>
  <c r="J84" i="9"/>
  <c r="J85" i="9"/>
  <c r="J86" i="9"/>
  <c r="J87" i="9"/>
  <c r="J88" i="9"/>
  <c r="J89" i="9"/>
  <c r="K55" i="9"/>
  <c r="K56" i="9"/>
  <c r="K57" i="9"/>
  <c r="K58" i="9"/>
  <c r="K59" i="9"/>
  <c r="K60" i="9"/>
  <c r="K61" i="9"/>
  <c r="K62" i="9"/>
  <c r="K63" i="9"/>
  <c r="K64" i="9"/>
  <c r="K65" i="9"/>
  <c r="K66" i="9"/>
  <c r="K67" i="9"/>
  <c r="K68" i="9"/>
  <c r="K69" i="9"/>
  <c r="K70" i="9"/>
  <c r="K71" i="9"/>
  <c r="K72" i="9"/>
  <c r="K73" i="9"/>
  <c r="K74" i="9"/>
  <c r="K75" i="9"/>
  <c r="K76" i="9"/>
  <c r="K77" i="9"/>
  <c r="K78" i="9"/>
  <c r="K79" i="9"/>
  <c r="K80" i="9"/>
  <c r="K81" i="9"/>
  <c r="K82" i="9"/>
  <c r="K83" i="9"/>
  <c r="K84" i="9"/>
  <c r="K85" i="9"/>
  <c r="K86" i="9"/>
  <c r="K87" i="9"/>
  <c r="K88" i="9"/>
  <c r="K89" i="9"/>
  <c r="M55" i="9"/>
  <c r="N55" i="9" s="1"/>
  <c r="M56" i="9"/>
  <c r="N56" i="9" s="1"/>
  <c r="M57" i="9"/>
  <c r="N57" i="9" s="1"/>
  <c r="M58" i="9"/>
  <c r="N58" i="9" s="1"/>
  <c r="M59" i="9"/>
  <c r="N59" i="9" s="1"/>
  <c r="M60" i="9"/>
  <c r="N60" i="9" s="1"/>
  <c r="M61" i="9"/>
  <c r="N61" i="9" s="1"/>
  <c r="M62" i="9"/>
  <c r="N62" i="9" s="1"/>
  <c r="M63" i="9"/>
  <c r="N63" i="9" s="1"/>
  <c r="M64" i="9"/>
  <c r="N64" i="9" s="1"/>
  <c r="M65" i="9"/>
  <c r="N65" i="9" s="1"/>
  <c r="M66" i="9"/>
  <c r="N66" i="9" s="1"/>
  <c r="M67" i="9"/>
  <c r="N67" i="9" s="1"/>
  <c r="M68" i="9"/>
  <c r="N68" i="9" s="1"/>
  <c r="M69" i="9"/>
  <c r="N69" i="9" s="1"/>
  <c r="M70" i="9"/>
  <c r="N70" i="9" s="1"/>
  <c r="M71" i="9"/>
  <c r="N71" i="9" s="1"/>
  <c r="M72" i="9"/>
  <c r="N72" i="9" s="1"/>
  <c r="M73" i="9"/>
  <c r="N73" i="9" s="1"/>
  <c r="M74" i="9"/>
  <c r="N74" i="9" s="1"/>
  <c r="M75" i="9"/>
  <c r="N75" i="9" s="1"/>
  <c r="M76" i="9"/>
  <c r="N76" i="9" s="1"/>
  <c r="M77" i="9"/>
  <c r="N77" i="9" s="1"/>
  <c r="M78" i="9"/>
  <c r="N78" i="9" s="1"/>
  <c r="M79" i="9"/>
  <c r="N79" i="9" s="1"/>
  <c r="M80" i="9"/>
  <c r="N80" i="9" s="1"/>
  <c r="M81" i="9"/>
  <c r="N81" i="9" s="1"/>
  <c r="M82" i="9"/>
  <c r="N82" i="9" s="1"/>
  <c r="M83" i="9"/>
  <c r="N83" i="9" s="1"/>
  <c r="M84" i="9"/>
  <c r="N84" i="9" s="1"/>
  <c r="M85" i="9"/>
  <c r="N85" i="9" s="1"/>
  <c r="M86" i="9"/>
  <c r="N86" i="9" s="1"/>
  <c r="M87" i="9"/>
  <c r="N87" i="9" s="1"/>
  <c r="M88" i="9"/>
  <c r="N88" i="9" s="1"/>
  <c r="M89" i="9"/>
  <c r="N89" i="9" s="1"/>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D7" i="2"/>
  <c r="D8" i="2"/>
  <c r="D9" i="2"/>
  <c r="D10" i="2"/>
  <c r="D11" i="2"/>
  <c r="D12" i="2"/>
  <c r="G7" i="2"/>
  <c r="E7" i="2" s="1"/>
  <c r="G8" i="2"/>
  <c r="G9" i="2"/>
  <c r="E9" i="2" s="1"/>
  <c r="G10" i="2"/>
  <c r="E10" i="2" s="1"/>
  <c r="G11" i="2"/>
  <c r="E11" i="2" s="1"/>
  <c r="G12" i="2"/>
  <c r="E12" i="2" s="1"/>
  <c r="D5" i="1"/>
  <c r="E8" i="2" l="1"/>
  <c r="F22" i="3"/>
  <c r="G22" i="3" s="1"/>
  <c r="H22" i="3" s="1"/>
  <c r="F21" i="3"/>
  <c r="G21" i="3" s="1"/>
  <c r="H21" i="3" s="1"/>
  <c r="F20" i="3"/>
  <c r="G20" i="3" s="1"/>
  <c r="H20" i="3" s="1"/>
  <c r="D2" i="2" l="1"/>
  <c r="D3" i="2"/>
  <c r="D4" i="2"/>
  <c r="D5" i="2"/>
  <c r="D6" i="2"/>
  <c r="D4" i="1"/>
  <c r="D3" i="1"/>
  <c r="G2" i="2"/>
  <c r="F19" i="3"/>
  <c r="G19" i="3" s="1"/>
  <c r="H19" i="3" s="1"/>
  <c r="F18" i="3"/>
  <c r="G18" i="3" s="1"/>
  <c r="H18" i="3" s="1"/>
  <c r="F54" i="9"/>
  <c r="H54" i="9"/>
  <c r="J54" i="9"/>
  <c r="M54" i="9"/>
  <c r="N54" i="9" s="1"/>
  <c r="F53" i="9"/>
  <c r="H53" i="9"/>
  <c r="J53" i="9"/>
  <c r="M53" i="9"/>
  <c r="N53" i="9" s="1"/>
  <c r="F52" i="9"/>
  <c r="H52" i="9"/>
  <c r="J52" i="9"/>
  <c r="M52" i="9"/>
  <c r="N52" i="9" s="1"/>
  <c r="F51" i="9"/>
  <c r="H51" i="9"/>
  <c r="J51" i="9"/>
  <c r="M51" i="9"/>
  <c r="N51" i="9" s="1"/>
  <c r="F50" i="9"/>
  <c r="H50" i="9"/>
  <c r="J50" i="9"/>
  <c r="M50" i="9"/>
  <c r="N50" i="9" s="1"/>
  <c r="F49" i="9"/>
  <c r="H49" i="9"/>
  <c r="J49" i="9"/>
  <c r="M49" i="9"/>
  <c r="N49" i="9" s="1"/>
  <c r="F48" i="9"/>
  <c r="H48" i="9"/>
  <c r="J48" i="9"/>
  <c r="M48" i="9"/>
  <c r="N48" i="9" s="1"/>
  <c r="F47" i="9"/>
  <c r="H47" i="9"/>
  <c r="J47" i="9"/>
  <c r="M47" i="9"/>
  <c r="N47" i="9" s="1"/>
  <c r="F46" i="9"/>
  <c r="H46" i="9"/>
  <c r="J46" i="9"/>
  <c r="M46" i="9"/>
  <c r="N46" i="9" s="1"/>
  <c r="J44" i="9"/>
  <c r="H44" i="9"/>
  <c r="F44" i="9"/>
  <c r="J43" i="9"/>
  <c r="H43" i="9"/>
  <c r="F43" i="9"/>
  <c r="J42" i="9"/>
  <c r="H42" i="9"/>
  <c r="F42" i="9"/>
  <c r="J41" i="9"/>
  <c r="H41" i="9"/>
  <c r="F41" i="9"/>
  <c r="J40" i="9"/>
  <c r="H40" i="9"/>
  <c r="F40" i="9"/>
  <c r="J39" i="9"/>
  <c r="H39" i="9"/>
  <c r="F39" i="9"/>
  <c r="J38" i="9"/>
  <c r="H38" i="9"/>
  <c r="F38" i="9"/>
  <c r="J37" i="9"/>
  <c r="H37" i="9"/>
  <c r="F37" i="9"/>
  <c r="J36" i="9"/>
  <c r="H36" i="9"/>
  <c r="F36" i="9"/>
  <c r="J35" i="9"/>
  <c r="H35" i="9"/>
  <c r="F35" i="9"/>
  <c r="J34" i="9"/>
  <c r="H34" i="9"/>
  <c r="F34" i="9"/>
  <c r="J33" i="9"/>
  <c r="H33" i="9"/>
  <c r="F33" i="9"/>
  <c r="J20" i="9"/>
  <c r="J19" i="9"/>
  <c r="J18" i="9"/>
  <c r="J17" i="9"/>
  <c r="J16" i="9"/>
  <c r="J15" i="9"/>
  <c r="J14" i="9"/>
  <c r="F3" i="9"/>
  <c r="F2" i="9"/>
  <c r="F13" i="3"/>
  <c r="G13" i="3" s="1"/>
  <c r="F14" i="3"/>
  <c r="G14" i="3" s="1"/>
  <c r="F15" i="3"/>
  <c r="G15" i="3" s="1"/>
  <c r="F16" i="3"/>
  <c r="G16" i="3" s="1"/>
  <c r="F17" i="3"/>
  <c r="G17" i="3" s="1"/>
  <c r="G4" i="2"/>
  <c r="G5" i="2"/>
  <c r="G6" i="2"/>
  <c r="G3" i="2"/>
  <c r="K46" i="9" l="1"/>
  <c r="K34" i="9"/>
  <c r="K52" i="9"/>
  <c r="K39" i="9"/>
  <c r="K35" i="9"/>
  <c r="K54" i="9"/>
  <c r="K53" i="9"/>
  <c r="K51" i="9"/>
  <c r="K50" i="9"/>
  <c r="K49" i="9"/>
  <c r="K47" i="9"/>
  <c r="K44" i="9"/>
  <c r="K43" i="9"/>
  <c r="K42" i="9"/>
  <c r="K41" i="9"/>
  <c r="K40" i="9"/>
  <c r="K38" i="9"/>
  <c r="K37" i="9"/>
  <c r="K36" i="9"/>
  <c r="K33" i="9"/>
  <c r="K48" i="9"/>
  <c r="H13" i="3" l="1"/>
  <c r="H14" i="3"/>
  <c r="H15" i="3"/>
  <c r="H16" i="3"/>
  <c r="H17" i="3"/>
  <c r="M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N33" i="9" s="1"/>
  <c r="M34" i="9"/>
  <c r="N34" i="9" s="1"/>
  <c r="M35" i="9"/>
  <c r="N35" i="9" s="1"/>
  <c r="M36" i="9"/>
  <c r="N36" i="9" s="1"/>
  <c r="M37" i="9"/>
  <c r="N37" i="9" s="1"/>
  <c r="M38" i="9"/>
  <c r="N38" i="9" s="1"/>
  <c r="M39" i="9"/>
  <c r="N39" i="9" s="1"/>
  <c r="M40" i="9"/>
  <c r="N40" i="9" s="1"/>
  <c r="M41" i="9"/>
  <c r="N41" i="9" s="1"/>
  <c r="M42" i="9"/>
  <c r="N42" i="9" s="1"/>
  <c r="M43" i="9"/>
  <c r="N43" i="9" s="1"/>
  <c r="M44" i="9"/>
  <c r="N44" i="9" s="1"/>
  <c r="M45" i="9"/>
  <c r="D2" i="1"/>
  <c r="H4" i="9" l="1"/>
  <c r="F5" i="9"/>
  <c r="H5" i="9"/>
  <c r="F6" i="9"/>
  <c r="H6" i="9"/>
  <c r="F7" i="9"/>
  <c r="H7" i="9"/>
  <c r="F8" i="9"/>
  <c r="H8" i="9"/>
  <c r="F9" i="9"/>
  <c r="H9" i="9"/>
  <c r="F10" i="9"/>
  <c r="H10" i="9"/>
  <c r="F11" i="9"/>
  <c r="H11" i="9"/>
  <c r="F12" i="9"/>
  <c r="H12" i="9"/>
  <c r="F13" i="9"/>
  <c r="H13" i="9"/>
  <c r="F14" i="9"/>
  <c r="H14" i="9"/>
  <c r="K14" i="9" s="1"/>
  <c r="F15" i="9"/>
  <c r="H15" i="9"/>
  <c r="F16" i="9"/>
  <c r="H16" i="9"/>
  <c r="F17" i="9"/>
  <c r="H17" i="9"/>
  <c r="F18" i="9"/>
  <c r="H18" i="9"/>
  <c r="F19" i="9"/>
  <c r="H19" i="9"/>
  <c r="K19" i="9" s="1"/>
  <c r="F20" i="9"/>
  <c r="H20" i="9"/>
  <c r="K20" i="9" s="1"/>
  <c r="F21" i="9"/>
  <c r="H21" i="9"/>
  <c r="F22" i="9"/>
  <c r="H22" i="9"/>
  <c r="F23" i="9"/>
  <c r="H23" i="9"/>
  <c r="F24" i="9"/>
  <c r="H24" i="9"/>
  <c r="F25" i="9"/>
  <c r="H25" i="9"/>
  <c r="F26" i="9"/>
  <c r="H26" i="9"/>
  <c r="F27" i="9"/>
  <c r="H27" i="9"/>
  <c r="F28" i="9"/>
  <c r="H28" i="9"/>
  <c r="F29" i="9"/>
  <c r="H29" i="9"/>
  <c r="F30" i="9"/>
  <c r="H30" i="9"/>
  <c r="F31" i="9"/>
  <c r="H31" i="9"/>
  <c r="F32" i="9"/>
  <c r="H32" i="9"/>
  <c r="F45" i="9"/>
  <c r="H45" i="9"/>
  <c r="N20" i="9" l="1"/>
  <c r="N19" i="9"/>
  <c r="N18" i="9"/>
  <c r="N17" i="9"/>
  <c r="N16" i="9"/>
  <c r="N15" i="9"/>
  <c r="N14" i="9"/>
  <c r="K18" i="9"/>
  <c r="K17" i="9"/>
  <c r="K16" i="9"/>
  <c r="K15" i="9"/>
  <c r="J45" i="9"/>
  <c r="K45" i="9" l="1"/>
  <c r="N45" i="9"/>
  <c r="J32" i="9"/>
  <c r="J31" i="9"/>
  <c r="J30" i="9"/>
  <c r="J29" i="9"/>
  <c r="J28" i="9"/>
  <c r="J27" i="9"/>
  <c r="J26" i="9"/>
  <c r="J25" i="9"/>
  <c r="J24" i="9"/>
  <c r="K24" i="9" l="1"/>
  <c r="N24" i="9"/>
  <c r="K25" i="9"/>
  <c r="N25" i="9"/>
  <c r="K26" i="9"/>
  <c r="N26" i="9"/>
  <c r="K27" i="9"/>
  <c r="N27" i="9"/>
  <c r="K28" i="9"/>
  <c r="N28" i="9"/>
  <c r="K29" i="9"/>
  <c r="N29" i="9"/>
  <c r="K30" i="9"/>
  <c r="N30" i="9"/>
  <c r="K31" i="9"/>
  <c r="N31" i="9"/>
  <c r="K32" i="9"/>
  <c r="N32" i="9"/>
  <c r="F5" i="3"/>
  <c r="G5" i="3" s="1"/>
  <c r="H5" i="3" s="1"/>
  <c r="F4" i="3"/>
  <c r="G4" i="3" s="1"/>
  <c r="H4" i="3" s="1"/>
  <c r="F3" i="3"/>
  <c r="G3" i="3" s="1"/>
  <c r="H3" i="3" s="1"/>
  <c r="H3" i="9" l="1"/>
  <c r="J2" i="9" l="1"/>
  <c r="J3" i="9" l="1"/>
  <c r="J4" i="9"/>
  <c r="J5" i="9"/>
  <c r="J6" i="9"/>
  <c r="J7" i="9"/>
  <c r="J8" i="9"/>
  <c r="J9" i="9"/>
  <c r="N9" i="9" s="1"/>
  <c r="J10" i="9"/>
  <c r="J11" i="9"/>
  <c r="J12" i="9"/>
  <c r="J13" i="9"/>
  <c r="J21" i="9"/>
  <c r="J22" i="9"/>
  <c r="N22" i="9" s="1"/>
  <c r="J23" i="9"/>
  <c r="H2" i="9"/>
  <c r="K23" i="9" l="1"/>
  <c r="N23" i="9"/>
  <c r="K21" i="9"/>
  <c r="N21" i="9"/>
  <c r="K13" i="9"/>
  <c r="N13" i="9"/>
  <c r="K12" i="9"/>
  <c r="N12" i="9"/>
  <c r="K11" i="9"/>
  <c r="N11" i="9"/>
  <c r="K10" i="9"/>
  <c r="N10" i="9"/>
  <c r="K8" i="9"/>
  <c r="N8" i="9"/>
  <c r="K7" i="9"/>
  <c r="N7" i="9"/>
  <c r="K6" i="9"/>
  <c r="N6" i="9"/>
  <c r="K5" i="9"/>
  <c r="N5" i="9"/>
  <c r="K3" i="9"/>
  <c r="N3" i="9"/>
  <c r="K2" i="9"/>
  <c r="N2" i="9"/>
  <c r="K9" i="9"/>
  <c r="E5" i="2"/>
  <c r="E6" i="2"/>
  <c r="E3" i="2"/>
  <c r="F10" i="3" l="1"/>
  <c r="G10" i="3" s="1"/>
  <c r="H10" i="3" s="1"/>
  <c r="F9" i="3"/>
  <c r="G9" i="3" s="1"/>
  <c r="H9" i="3" s="1"/>
  <c r="F8" i="3"/>
  <c r="G8" i="3" s="1"/>
  <c r="H8" i="3" s="1"/>
  <c r="F7" i="3"/>
  <c r="G7" i="3" s="1"/>
  <c r="H7" i="3" s="1"/>
  <c r="F2" i="3"/>
  <c r="G2" i="3" s="1"/>
  <c r="H2" i="3" s="1"/>
  <c r="F6" i="3"/>
  <c r="G6" i="3" s="1"/>
  <c r="H6" i="3" s="1"/>
  <c r="F11" i="3"/>
  <c r="G11" i="3" s="1"/>
  <c r="H11" i="3" s="1"/>
  <c r="F12" i="3"/>
  <c r="G12" i="3" s="1"/>
  <c r="H12" i="3" s="1"/>
  <c r="F4" i="9" l="1"/>
  <c r="N4" i="9" s="1"/>
  <c r="K4" i="9" l="1"/>
</calcChain>
</file>

<file path=xl/sharedStrings.xml><?xml version="1.0" encoding="utf-8"?>
<sst xmlns="http://schemas.openxmlformats.org/spreadsheetml/2006/main" count="1588" uniqueCount="555">
  <si>
    <t>Data Dictionary</t>
  </si>
  <si>
    <t>Version: 0.86</t>
  </si>
  <si>
    <t>Version control</t>
  </si>
  <si>
    <t>Version</t>
  </si>
  <si>
    <t>Date</t>
  </si>
  <si>
    <t>Authors</t>
  </si>
  <si>
    <t>Most important changes</t>
  </si>
  <si>
    <t>0.1</t>
  </si>
  <si>
    <t>-Deepal Rathod</t>
  </si>
  <si>
    <t>Initial Draft</t>
  </si>
  <si>
    <t/>
  </si>
  <si>
    <t>Excel sheet in this file</t>
  </si>
  <si>
    <t>Column Name</t>
  </si>
  <si>
    <t>Description</t>
  </si>
  <si>
    <t>L1 Data Domains</t>
  </si>
  <si>
    <t>ID</t>
  </si>
  <si>
    <t>The unique identifier of a data domain.</t>
  </si>
  <si>
    <t>0. Meta Model</t>
  </si>
  <si>
    <t>Domain name</t>
  </si>
  <si>
    <t>The unique functional name of a data domain</t>
  </si>
  <si>
    <t>Domain Qualified Name</t>
  </si>
  <si>
    <t>The unique technical name of a data domain which is used in Apache Atlas.</t>
  </si>
  <si>
    <t xml:space="preserve">Below figure displays the Meta Model, which is an overview of the metadata structure in the data dictionary. The Meta Model shows which metadata types exist on both physical and conceptual level, and highlights the relationships between the different metadata types. The concepts Has Parent and Parent Entity Name have been added to Data Entities (L2) to be able to interlink different data entities to created a nested structure, this is required to create a hierarchical structure between different data entities. Level 5 Metadata content is added to this figure, because in certain datasets (e.g. FTE Actuals) metadata is defined in the first column of the table in addition to the header row. To be able to process differently structured datasets, data attributes need to be linked both to Fields (L4) and Metadata Content (L5) because both represent data attributes.
</t>
  </si>
  <si>
    <t>Definition</t>
  </si>
  <si>
    <t>The definition of a data domain determined by the data steward and data owner.</t>
  </si>
  <si>
    <t>Data Domain Lead</t>
  </si>
  <si>
    <t>The owner for a data domain.</t>
  </si>
  <si>
    <t>L2 Data Entities</t>
  </si>
  <si>
    <t>The unique identifier of a data entity.</t>
  </si>
  <si>
    <t>Data Domain</t>
  </si>
  <si>
    <t>The functional name of the data domain to which a data entity belongs.</t>
  </si>
  <si>
    <t>Entity name</t>
  </si>
  <si>
    <t>The functional name of a data entity.</t>
  </si>
  <si>
    <t>Direct Relation to Domain</t>
  </si>
  <si>
    <t>This field describes if an entity has a direct relation to a data domain.</t>
  </si>
  <si>
    <t>Entity Qualified Name</t>
  </si>
  <si>
    <t>The unique technical name of a data entity which is used in Apache Atlas. This is a combination of the unique technical name of a data domain and the unique technical name of a data entity, which can consist of a single entity name or multiple entity names in case of a parent/child relationship between data entities.</t>
  </si>
  <si>
    <t>Has Parent</t>
  </si>
  <si>
    <t>Classification if a data entity has a parent data entity. Has Parent can only be answered with yes or no.</t>
  </si>
  <si>
    <t>Parent entity name</t>
  </si>
  <si>
    <t>The functional entity name to which a data entity belongs in a hierarchical data structure between different data entities. The parent entity should only be filled when Has Parent is equal to 'yes'.</t>
  </si>
  <si>
    <t>The definition of a data entity determined by the data steward and data owner.</t>
  </si>
  <si>
    <t>Business Data Owner</t>
  </si>
  <si>
    <t>The Business Data Owner of a data entity. If not provided on data entity level, the value is inherited using the owner of the corresponding data domain.</t>
  </si>
  <si>
    <t>Business Data Steward</t>
  </si>
  <si>
    <t>The Business Data Steward of a data entity. If not provided on data entity level, the value is inherited using the owner of the corresponding data domain.</t>
  </si>
  <si>
    <t>L3 Data Attributes</t>
  </si>
  <si>
    <t>The unique identifier of a data attribute.</t>
  </si>
  <si>
    <t>Entity Name</t>
  </si>
  <si>
    <t>The functional name of the data entity to which a data attribute belongs.</t>
  </si>
  <si>
    <t>Attribute Name</t>
  </si>
  <si>
    <t>The functional name of a data attribute.</t>
  </si>
  <si>
    <t>Attribute Qualified Name</t>
  </si>
  <si>
    <t>The unique technical name of a data attribute which is used in Apache Atlas. This is a combination of the unique technical name of a data domain, data entity and data attribute.</t>
  </si>
  <si>
    <t>Data Type</t>
  </si>
  <si>
    <t>The data type of a data attribute (string, numeric, JSON object) which is required to interpret the data in the correct format.</t>
  </si>
  <si>
    <t>Has PII</t>
  </si>
  <si>
    <t>Classification if this information is about a person</t>
  </si>
  <si>
    <t>Risk Classification</t>
  </si>
  <si>
    <t>The risk classification of a data attribute determined by the data steward and data owner</t>
  </si>
  <si>
    <t>Is Key Data</t>
  </si>
  <si>
    <t>Key data classification determined by the data steward and data owner</t>
  </si>
  <si>
    <t>The Business Data Owner of a data attribute. If not provided on data entity level, the value is inherited using the owner of the corresponding data entity.</t>
  </si>
  <si>
    <t>The Business Data Steward of a data attribute. If not provided on data entity level, the value is inherited using the owner of the corresponding data entity.</t>
  </si>
  <si>
    <t>L4 Fields</t>
  </si>
  <si>
    <t>The unique identifier of a field.</t>
  </si>
  <si>
    <t>The functional name of a data attribute which is the conceptual representation of a field.</t>
  </si>
  <si>
    <t>The unique technical name of a data attribute which is the conceptual representation of a field.</t>
  </si>
  <si>
    <t>System Name</t>
  </si>
  <si>
    <t>The name of a system to which the field belongs.</t>
  </si>
  <si>
    <t>Collection Name</t>
  </si>
  <si>
    <t>The name of a collection to which the field belongs.</t>
  </si>
  <si>
    <t>Dataset Name</t>
  </si>
  <si>
    <t>The name of a dataset to which the field belongs.</t>
  </si>
  <si>
    <t>Field Name</t>
  </si>
  <si>
    <t>The functional name of a field.</t>
  </si>
  <si>
    <t>Field Qualified Name</t>
  </si>
  <si>
    <t>The unique technical name of a field.</t>
  </si>
  <si>
    <t>Definition (needed?)</t>
  </si>
  <si>
    <t>The definition of a field determined by the data steward and data owner.</t>
  </si>
  <si>
    <t>Field Type</t>
  </si>
  <si>
    <t>Classification of the data type of a field (e.g. string, integer, boolean, JSON object)</t>
  </si>
  <si>
    <t>Has Content Structure</t>
  </si>
  <si>
    <t>Classification if a field represents a content structure. This classification is required for data sets in which the first column is part of the metadata structure (e.g. EIS).</t>
  </si>
  <si>
    <t>L5 Content Structure</t>
  </si>
  <si>
    <t>The unique identifier of a property in the content structure of a dataset.</t>
  </si>
  <si>
    <t>The unique technical name of a field to which a property belongs.</t>
  </si>
  <si>
    <t>Filter ID</t>
  </si>
  <si>
    <t>The ID of a content structure.</t>
  </si>
  <si>
    <t>Content Structure Name</t>
  </si>
  <si>
    <t>The functional name of a content structure.</t>
  </si>
  <si>
    <t>Content Structure Qualified Name</t>
  </si>
  <si>
    <t>The unique technical name of a content structure which is used in Apache Atlas. This is a combination of the unique technical name of a system, collection, dataset, field and property.</t>
  </si>
  <si>
    <t>The definition of a content structure determined by the data steward and data owner.</t>
  </si>
  <si>
    <t>Data Quality Rulebook</t>
  </si>
  <si>
    <t>The unique identifier of a data quality rule.</t>
  </si>
  <si>
    <t>The unique technical name of a field, for which a data quality rule needs to be applied (only needs te be filled if property qualified name is empty).</t>
  </si>
  <si>
    <t>The unique technical name of a property, for which a data quality rule needs to be applied. (only needs te be filled if field qualified name is empty)</t>
  </si>
  <si>
    <t>Business Rule Description</t>
  </si>
  <si>
    <t>Functional description on what the data field needs to adhere to.</t>
  </si>
  <si>
    <t>Data Quality Rule Description</t>
  </si>
  <si>
    <t>Functional description on what the data field needs to adhere to including the related data fields which can be used to program into a measurable rule.</t>
  </si>
  <si>
    <t>Data Quality Dimension</t>
  </si>
  <si>
    <t>Classification of the type of data quality that needs to be measured.</t>
  </si>
  <si>
    <t>Filter Required</t>
  </si>
  <si>
    <t>Classification if a filter is required for a data quality rule (this is required in case a field contains a content structure).</t>
  </si>
  <si>
    <t>Expression</t>
  </si>
  <si>
    <t>The expression that is used by a Python script to apply the correct functionality for a data quality rule.</t>
  </si>
  <si>
    <t>Active</t>
  </si>
  <si>
    <t>Classification if a data quality rule is active or inactive.</t>
  </si>
  <si>
    <t>Expression_version</t>
  </si>
  <si>
    <t>The version of the expression that is used.</t>
  </si>
  <si>
    <t>Person Table</t>
  </si>
  <si>
    <t>The unique identifier of a person.</t>
  </si>
  <si>
    <t>Person Name</t>
  </si>
  <si>
    <t>The full name of a person.</t>
  </si>
  <si>
    <t>Email address</t>
  </si>
  <si>
    <t>The email address of a person.</t>
  </si>
  <si>
    <t>Conceptual Data Model</t>
  </si>
  <si>
    <t>Purpose of a conceptual data model is to have high level blueprint over the VO-wide/ business critical data attributes, entities and relationships, independent in which system the data resides. Data models for the data entities in scope will support the requirements to have a system-agnostic data model per object and on key attributes readily available for that. The  conceptual data model is defined from a business perspective and not from a technical perspective (and is therefore system agnostic).</t>
  </si>
  <si>
    <t>Beverage Production</t>
  </si>
  <si>
    <t>Includes the beverages, recipes, and consumption statistics.</t>
  </si>
  <si>
    <t>Coffee Machine</t>
  </si>
  <si>
    <t>Includes the machine identity, ownership, events, and configuration.</t>
  </si>
  <si>
    <t>Sales</t>
  </si>
  <si>
    <t>Includes distributors and end-customers.</t>
  </si>
  <si>
    <t>Product Asset Management</t>
  </si>
  <si>
    <t>Includes the management of built machines.</t>
  </si>
  <si>
    <t>Unique Domain Qualified Name</t>
  </si>
  <si>
    <t>Child entity qualified name2</t>
  </si>
  <si>
    <t>Parent entity Qualified name</t>
  </si>
  <si>
    <t>Parent entity Qualified Name2</t>
  </si>
  <si>
    <t>Parent entity Qualified Name3</t>
  </si>
  <si>
    <t>coffee-machine</t>
  </si>
  <si>
    <t>Machine events</t>
  </si>
  <si>
    <t>Yes</t>
  </si>
  <si>
    <t>No</t>
  </si>
  <si>
    <t>Logs and categorizes important messages or alerts from the machine, such as warnings or errors, that help monitor its performance and condition over time. The messages also include further details on the events and how these were handled.</t>
  </si>
  <si>
    <t>Machine state</t>
  </si>
  <si>
    <t>Provides a summary of the machine’s current and past state alerts. It also includes key details regarding the type and status of each state alert and overall statistics about past errors.</t>
  </si>
  <si>
    <t>Grinder control</t>
  </si>
  <si>
    <t>Machine configuration</t>
  </si>
  <si>
    <t>coffee-machine--machine-configuration</t>
  </si>
  <si>
    <t>Describes how each grinder in the coffee machine is set up and connected to its brewer. It includes where the grinder is located, what type of ingredient it uses (like fresh ground coffee), when it was last calibrated and how it’s identified within the system.</t>
  </si>
  <si>
    <t>Machine recipe</t>
  </si>
  <si>
    <t>Stores the predefined beverage recipes used by the coffee machine to prepare drinks. These recipes are managed exclusively by Bravilor and cannot be modified by end customers or distributors. Each recipe defines how a drink is made at a specific location, including details such as ingredient types, water quantity and cup size translations. Also includes the version of the machine recipe.</t>
  </si>
  <si>
    <t>beverage-production</t>
  </si>
  <si>
    <t>Customized beverage</t>
  </si>
  <si>
    <t>Represents a single consumption of a beverage at a machine at an end customer. It uses a unique beverage name that applies across all machines and distributors. This beverage is customised based on options like toppings, sugar level, coffee strength, and cup size (small, medium, or large).  This is the basis for aggregated consumptions.</t>
  </si>
  <si>
    <t>Consumption records</t>
  </si>
  <si>
    <t>Tracks how many customized beverages the machine has brewed, broken down by cup size (small, medium, large). These counts are summarised daily to support reporting and analysis.</t>
  </si>
  <si>
    <t>sales</t>
  </si>
  <si>
    <t>End customer</t>
  </si>
  <si>
    <t>Name of the end customer, referring to the owner of the machine.</t>
  </si>
  <si>
    <t>Canister control</t>
  </si>
  <si>
    <r>
      <rPr>
        <sz val="11"/>
        <color rgb="FF000000"/>
        <rFont val="Aptos Narrow"/>
      </rPr>
      <t>Describes how each ingredient canister</t>
    </r>
    <r>
      <rPr>
        <sz val="11"/>
        <color rgb="FFFF0000"/>
        <rFont val="Aptos Narrow"/>
      </rPr>
      <t xml:space="preserve"> </t>
    </r>
    <r>
      <rPr>
        <sz val="11"/>
        <color rgb="FF000000"/>
        <rFont val="Aptos Narrow"/>
      </rPr>
      <t>in the coffee machine is set up and connected. It includes information such as where the canister is located, what ingredient it holds, when it was last calibrated, how it connects to the mixer and how it’s identified within the system for tracking and control.</t>
    </r>
  </si>
  <si>
    <t>Machine</t>
  </si>
  <si>
    <t>Provides key information used to identify and manage each coffee machine, such as its unique ID, location, customer-assigned reference and the date it was linked to the end customer. Distributor and customer ID are included as well. Additionally, it includes user-defined tags and mobile data usage details to support tracking and service operations.</t>
  </si>
  <si>
    <t xml:space="preserve">The configuration of machine components such as canisters, grinders, and mixers. </t>
  </si>
  <si>
    <t>product-asset-management</t>
  </si>
  <si>
    <t>Recipe update</t>
  </si>
  <si>
    <t xml:space="preserve">Captures relevant data associated with the modification/update of a recipe in a coffee machine. This entity includes identifiers, versioning details, artifact specifications, delivery status and contextual notes. </t>
  </si>
  <si>
    <t>Unique entity qualified name</t>
  </si>
  <si>
    <t>Clean attribute name</t>
  </si>
  <si>
    <t>Data attribute qualified name</t>
  </si>
  <si>
    <t>beverage-production--customized-beverage</t>
  </si>
  <si>
    <t>beverage name</t>
  </si>
  <si>
    <t>The unique name of the drink type, which must be distinct across all machines and distributors. It means that each beverage name must be globally unique, not just within a single machine or distributor. E.g., coffee-freshground, caffe-latte-freshground</t>
  </si>
  <si>
    <t>Text</t>
  </si>
  <si>
    <t>volume</t>
  </si>
  <si>
    <t>The drink size selected by the customer on the machine. Available options are: small, medium and large.</t>
  </si>
  <si>
    <t>coffee-machine----machine-recipe</t>
  </si>
  <si>
    <t>ml</t>
  </si>
  <si>
    <t>The volume of the prepared drink, measured in milliliters. E.g., 120</t>
  </si>
  <si>
    <t>Numeric</t>
  </si>
  <si>
    <t>strength</t>
  </si>
  <si>
    <t>The strength level of the brewed coffee, represented numerically on a scale from 0 to 2, where 0 is mild, 1 is regular and 2 is strong. (guess)</t>
  </si>
  <si>
    <t>estimated brewing time</t>
  </si>
  <si>
    <t>The estimated duration required to brew the beverage, measured in seconds. E.g., 37.16</t>
  </si>
  <si>
    <t>sugar</t>
  </si>
  <si>
    <t>The amount of sugar added to the drink, represented on a scale from 0 (least) to 2 (most). If this attribute is missing, no sugar is added.</t>
  </si>
  <si>
    <t>topping</t>
  </si>
  <si>
    <t>The amount of topping added to the drink, represented on a scale from 0 (least) to 2 (most). If this attribute is missing, no topping is added.</t>
  </si>
  <si>
    <t>beverage-production--consumption-records</t>
  </si>
  <si>
    <t>small</t>
  </si>
  <si>
    <t>The total number of small-sized beverages prepared by the machine within a single day.</t>
  </si>
  <si>
    <t>medium</t>
  </si>
  <si>
    <t>The total number of medium-sized beverages prepared by the machine within a single day.</t>
  </si>
  <si>
    <t xml:space="preserve">large </t>
  </si>
  <si>
    <t>The total number of large-sized beverages prepared by the machine within a single day.</t>
  </si>
  <si>
    <t>total consumption</t>
  </si>
  <si>
    <t>The total number of beverages prepared by the machine within a single day. This is the sum of small, medium and large consumptions.</t>
  </si>
  <si>
    <t>coffee-machine--machine-events</t>
  </si>
  <si>
    <t>active notifications</t>
  </si>
  <si>
    <t>A list of notifications that are currently active on the machine, typically indicating issues, warnings or system messages that require attention.</t>
  </si>
  <si>
    <t>Array</t>
  </si>
  <si>
    <t>coffee-machine--machine-state</t>
  </si>
  <si>
    <t>latched notifications</t>
  </si>
  <si>
    <t>A list of notifications that were previously active but have been resolved or acknowledged by the user.</t>
  </si>
  <si>
    <t>event ID</t>
  </si>
  <si>
    <t>The unique ID for every machine event.</t>
  </si>
  <si>
    <t>action</t>
  </si>
  <si>
    <t>The type of response or handling applied to a machine event, such as acknowledging, dismissing or resolving a notification.</t>
  </si>
  <si>
    <t>notification metadata</t>
  </si>
  <si>
    <t>Additional parameters associated with a notification, such as its unique identifier (uid) if applicable (does this mean that there are notifications withou uid?)</t>
  </si>
  <si>
    <t>procedure name</t>
  </si>
  <si>
    <t xml:space="preserve">The name of the procedure. </t>
  </si>
  <si>
    <t>estimated procedure time</t>
  </si>
  <si>
    <t>The estimated time of the procedure from start to finish.</t>
  </si>
  <si>
    <t>wait</t>
  </si>
  <si>
    <t>The duration of time that a procedure spends waiting before execution, due to scheduling, dependency or communication delays.</t>
  </si>
  <si>
    <t>coffee-machine----grinder-control</t>
  </si>
  <si>
    <t>grinder channel ID</t>
  </si>
  <si>
    <t>The MQTT topic channel ID associated with the grinder.</t>
  </si>
  <si>
    <t>grinder calibration date</t>
  </si>
  <si>
    <t>The date on which the grinder was last calibrated.</t>
  </si>
  <si>
    <t>grinder ingredient ID</t>
  </si>
  <si>
    <t>The unique identifier of the ingredient currently loaded in the grinder, e.g., freshground</t>
  </si>
  <si>
    <t>component mapping</t>
  </si>
  <si>
    <t>The identifier of the component to which this item is linked. For example, a grinder may be mapped to a brewer, indicating their operational relationship.</t>
  </si>
  <si>
    <t>grinder position number</t>
  </si>
  <si>
    <t>The physical position of the grinder within the coffee machine, numbered from left to right as viewed from the front. The numbering starts at 0.</t>
  </si>
  <si>
    <t>grinder label</t>
  </si>
  <si>
    <t>The ID of the grinder used for linking within the CoffeeController.</t>
  </si>
  <si>
    <t>coffee-machine----canister-control</t>
  </si>
  <si>
    <t>canister channel ID</t>
  </si>
  <si>
    <t>The channel ID used for the related MQTT topic, enabling communication with the canister control.</t>
  </si>
  <si>
    <t>canister calibration date</t>
  </si>
  <si>
    <t>The date on which the canister was last calibrated.</t>
  </si>
  <si>
    <t>canister ingredient ID</t>
  </si>
  <si>
    <t>The unique identifier of the ingredient currently loaded in the canister, e.g., topping, cacao</t>
  </si>
  <si>
    <t>mixer mapping</t>
  </si>
  <si>
    <t>The ID of the mixer where the canister deposites the ingredient for mixing into a beverage.</t>
  </si>
  <si>
    <t>canister position number</t>
  </si>
  <si>
    <t>The physical position of the canister within the coffee machine, numbered from left to right as viewed from the front. The numbering starts at 0.</t>
  </si>
  <si>
    <t>canister outlet</t>
  </si>
  <si>
    <t>The type of outlet used in the control of the canister, which can be center (dispensing straight down), left or right.</t>
  </si>
  <si>
    <t>canister type</t>
  </si>
  <si>
    <t>The size of the canister.</t>
  </si>
  <si>
    <t>canister label</t>
  </si>
  <si>
    <t>The ID of the canister used for linking within the coffeecontroller.</t>
  </si>
  <si>
    <t>beverage ID Bravilor</t>
  </si>
  <si>
    <t>The ID of the beverage associated with each recipe available in the machine. These IDs are managed exclusively by Bravilor and cannot be modified by others.</t>
  </si>
  <si>
    <t>beverage ID</t>
  </si>
  <si>
    <t>The ID of the beverage associated with each recipe available in the machine.  The list includes only recipes that are selectable by the user.</t>
  </si>
  <si>
    <t>master state</t>
  </si>
  <si>
    <t>The current main status of the machine, e.g., error, power_on.</t>
  </si>
  <si>
    <t>additional state info</t>
  </si>
  <si>
    <t>Supplementary information about the current state of the machine. Examples for the normal master state include service, operation, dispense and idle.</t>
  </si>
  <si>
    <t>sales--end-customer</t>
  </si>
  <si>
    <t>end customer name</t>
  </si>
  <si>
    <t>The name of the end customer (owner of the machine).</t>
  </si>
  <si>
    <t>coffee-machine--machine</t>
  </si>
  <si>
    <t>machine location</t>
  </si>
  <si>
    <t>The ID of the selected location of the machine chosen by the end customer.</t>
  </si>
  <si>
    <t>machine name</t>
  </si>
  <si>
    <t>The machine ID in a format that is easy for humans to understand and use, e.g., Freshbrew #88, Freshbrew #56</t>
  </si>
  <si>
    <t>consumption record timestamp</t>
  </si>
  <si>
    <t>The exact time when a drink was prepeared(?). You can search for records by year, but only for the past two years.</t>
  </si>
  <si>
    <t>event name</t>
  </si>
  <si>
    <t>The descriptive name assigned to an event type, e.g, error, warning, info.</t>
  </si>
  <si>
    <t>filtering tags</t>
  </si>
  <si>
    <t>User-defined labels applied to machines for filtering purposes such as “malfunction”, “priority” or “teacher’s role”.</t>
  </si>
  <si>
    <t>sorting tags</t>
  </si>
  <si>
    <t>User-defined labels used to sort machines via dropdown filters. These tags help organise machine lists by criteria like priority or operational status.</t>
  </si>
  <si>
    <t>serial number</t>
  </si>
  <si>
    <t>The serial number of the machine.</t>
  </si>
  <si>
    <t>event title</t>
  </si>
  <si>
    <t>The title of the event describing the current error or maintenance needed.</t>
  </si>
  <si>
    <t>total error count</t>
  </si>
  <si>
    <t>The total number of errors for the corresponding coffee machine.</t>
  </si>
  <si>
    <t>monthly error count</t>
  </si>
  <si>
    <t>The number of error events that were recorded each month, based on their date, for the corresponding coffee machine.</t>
  </si>
  <si>
    <t>beverage count</t>
  </si>
  <si>
    <t>The number of beverages prepared on the current month by the machine. The month is determined based on the time settings configured on the server.</t>
  </si>
  <si>
    <t>customized beverage count</t>
  </si>
  <si>
    <t>In the DD another, conflicting, description is also provided: % change in monthly consumption vs previous period</t>
  </si>
  <si>
    <t>event type</t>
  </si>
  <si>
    <t>The machine’s internal categorisation of an event, used for filtering purposes, e.g., error, maintenance.</t>
  </si>
  <si>
    <t>event status</t>
  </si>
  <si>
    <t>Indicates the temporal state of an event. Possible values are: open, upcoming, past.</t>
  </si>
  <si>
    <t>machine customer ID</t>
  </si>
  <si>
    <t>The ID of the machine assigned by the owner. Which is a dealer or distributer in most cases.</t>
  </si>
  <si>
    <t>mobile data usage</t>
  </si>
  <si>
    <t>The SIM-based data usage of a machine, retrieved daily from the provider’s API and stored in the database. The value reflects the amount of data consumed in gigabytes.</t>
  </si>
  <si>
    <t>pairing date</t>
  </si>
  <si>
    <t>The date when the machine was first connected to ethernet/WiFi by the end customer.</t>
  </si>
  <si>
    <t>machine ID</t>
  </si>
  <si>
    <t>The unique ID of the coffee machine​.</t>
  </si>
  <si>
    <t>distributor ID</t>
  </si>
  <si>
    <t>The unique ID of the tenant/distributor responsible for the coffee machine.</t>
  </si>
  <si>
    <t>event storage time</t>
  </si>
  <si>
    <t>The timestamp indicating when an event was stored in the system.</t>
  </si>
  <si>
    <t>event occurrence time</t>
  </si>
  <si>
    <t>The timestamp indicating when the event actually occurred on the machine.</t>
  </si>
  <si>
    <t>hourly beverage count</t>
  </si>
  <si>
    <t>The number of beverages prepared by the machine within a given hour.</t>
  </si>
  <si>
    <t>hour start time</t>
  </si>
  <si>
    <t>Represents the start time of the hour during which the event occurred or was recorded, e.g. 10:00:00.</t>
  </si>
  <si>
    <t>aggregation time</t>
  </si>
  <si>
    <t>The time at which the data aggregation was computed.</t>
  </si>
  <si>
    <t>product-asset-management--recipe-update</t>
  </si>
  <si>
    <t>update notification ID</t>
  </si>
  <si>
    <t>The unique identifier of an update notification.</t>
  </si>
  <si>
    <t>notification sent time</t>
  </si>
  <si>
    <t>The timestamp indicating when the recipe update notification was sent to the coffee machine.</t>
  </si>
  <si>
    <t>recipe ID</t>
  </si>
  <si>
    <t>The ID of the recipe that is targeted for an update.</t>
  </si>
  <si>
    <t>recipe target version</t>
  </si>
  <si>
    <t>The version of the recipe that the update notification is intended to deploy.</t>
  </si>
  <si>
    <t>update artifact location</t>
  </si>
  <si>
    <t>The location or path where the update artifact (such as a software package, configuration file, or recipe) is stored and can be retrieved.</t>
  </si>
  <si>
    <t>update artifact checksum</t>
  </si>
  <si>
    <t>The SHA-256 cryptographic hash of the update artifact file. This attribute is used to verify the integrity and authenticity of the artifact during deployment, ensuring that the file has not been altered or corrupted.</t>
  </si>
  <si>
    <t>update artifact size</t>
  </si>
  <si>
    <t xml:space="preserve">The total size of the update artifact file, measured in bytes. </t>
  </si>
  <si>
    <t xml:space="preserve">update mandatory </t>
  </si>
  <si>
    <t>Indicates whether the update must be applied without user discretion. A value of true signifies that the update is required and false allows optional installation.</t>
  </si>
  <si>
    <t>update notes</t>
  </si>
  <si>
    <t>Provides human-readable context or commentary about the update, such as purpose, changes introduced, or special instructions</t>
  </si>
  <si>
    <t>Intermediate Qualified System Name</t>
  </si>
  <si>
    <t>Collection Intermediate Qualified Name</t>
  </si>
  <si>
    <t>Dataset Intermediate Qualified Name</t>
  </si>
  <si>
    <t>Intermediate Physical Qualified Name</t>
  </si>
  <si>
    <t>Field Intermediate Qualified Name</t>
  </si>
  <si>
    <t>beverage-production--customized-beverage--beverage-name</t>
  </si>
  <si>
    <t>MQTT</t>
  </si>
  <si>
    <t>machine/controller</t>
  </si>
  <si>
    <t>order</t>
  </si>
  <si>
    <t>beverage</t>
  </si>
  <si>
    <t>beverage-production--customized-beverage--volume</t>
  </si>
  <si>
    <t>coffee-machine----machine-recipe--ml</t>
  </si>
  <si>
    <t>beverage-production--customized-beverage--strength</t>
  </si>
  <si>
    <t>beverage-production--customized-beverage--estimated-brewing-time</t>
  </si>
  <si>
    <t>etc</t>
  </si>
  <si>
    <t>beverage-production--customized-beverage--sugar</t>
  </si>
  <si>
    <t>beverage-production--customized-beverage--topping</t>
  </si>
  <si>
    <t>machine/controller/beverage/counters/total</t>
  </si>
  <si>
    <t>totalconsumptions</t>
  </si>
  <si>
    <t>name</t>
  </si>
  <si>
    <t>beverage-production--consumption-records--small</t>
  </si>
  <si>
    <t>beverage-production--consumption-records--medium</t>
  </si>
  <si>
    <t>beverage-production--consumption-records--large</t>
  </si>
  <si>
    <t>large</t>
  </si>
  <si>
    <t>beverage-production--consumption-records--total-consumption</t>
  </si>
  <si>
    <t>total</t>
  </si>
  <si>
    <t>coffee-machine--machine-events--active-notifications</t>
  </si>
  <si>
    <t>machine/controller/notify</t>
  </si>
  <si>
    <t>messages</t>
  </si>
  <si>
    <t>active</t>
  </si>
  <si>
    <t>coffee-machine--machine-state--latched-notifications</t>
  </si>
  <si>
    <t>latched</t>
  </si>
  <si>
    <t>coffee-machine--machine-events--event-id</t>
  </si>
  <si>
    <t>id</t>
  </si>
  <si>
    <t>coffee-machine--machine-events--action</t>
  </si>
  <si>
    <t>coffee-machine--machine-events--notification-metadata</t>
  </si>
  <si>
    <t>metadata</t>
  </si>
  <si>
    <t>coffee-machine----machine-recipe--procedure-name</t>
  </si>
  <si>
    <t>machine/controller/procedure</t>
  </si>
  <si>
    <t>procedure</t>
  </si>
  <si>
    <t>coffee-machine----machine-recipe--estimated-procedure-time</t>
  </si>
  <si>
    <t>coffee-machine----machine-recipe--wait</t>
  </si>
  <si>
    <t>coffee-machine----grinder-control--grinder-channel-id</t>
  </si>
  <si>
    <t>machine/controller/grinder</t>
  </si>
  <si>
    <t>machine-grinder</t>
  </si>
  <si>
    <t>ksql-server--ksql-processed-data--iotexpometricsavro</t>
  </si>
  <si>
    <t>channel</t>
  </si>
  <si>
    <t>coffee-machine----grinder-control--grinder-calibration-date</t>
  </si>
  <si>
    <t>date</t>
  </si>
  <si>
    <t>coffee-machine----grinder-control--grinder-ingredient-id</t>
  </si>
  <si>
    <t>ingredient</t>
  </si>
  <si>
    <t>coffee-machine----grinder-control--component-mapping</t>
  </si>
  <si>
    <t>mapping</t>
  </si>
  <si>
    <t>coffee-machine----grinder-control--grinder-position-number</t>
  </si>
  <si>
    <t>number</t>
  </si>
  <si>
    <t>coffee-machine----grinder-control--grinder-label</t>
  </si>
  <si>
    <t>label</t>
  </si>
  <si>
    <t>coffee-machine----canister-control--canister-channel-id</t>
  </si>
  <si>
    <t>machine/controller/canister</t>
  </si>
  <si>
    <t>machine-canister</t>
  </si>
  <si>
    <t>coffee-machine----canister-control--canister-calibration-date</t>
  </si>
  <si>
    <t>coffee-machine----canister-control--canister-ingredient-id</t>
  </si>
  <si>
    <t>coffee-machine----canister-control--mixer-mapping</t>
  </si>
  <si>
    <t>coffee-machine----canister-control--canister-position-number</t>
  </si>
  <si>
    <t>coffee-machine----canister-control--canister-outlet</t>
  </si>
  <si>
    <t>outlet</t>
  </si>
  <si>
    <t>coffee-machine----canister-control--canister-type</t>
  </si>
  <si>
    <t>type</t>
  </si>
  <si>
    <t>coffee-machine----canister-control--canister-label</t>
  </si>
  <si>
    <t>coffee-machine--machine-configuration--beverage-id-bravilor</t>
  </si>
  <si>
    <t>machine/controller/recipe</t>
  </si>
  <si>
    <t>machine-recipe</t>
  </si>
  <si>
    <t>coffee-machine--machine-configuration--beverage-id</t>
  </si>
  <si>
    <t>machine/controller/beverage</t>
  </si>
  <si>
    <t>machine-beverage</t>
  </si>
  <si>
    <t>coffee-machine--machine-state--master-state</t>
  </si>
  <si>
    <t>machine/controller/state</t>
  </si>
  <si>
    <t>machine-state</t>
  </si>
  <si>
    <t>master</t>
  </si>
  <si>
    <t>coffee-machine--machine-state--additional-state-info</t>
  </si>
  <si>
    <t>state</t>
  </si>
  <si>
    <t>sales--end-customer--end-customer-name</t>
  </si>
  <si>
    <t>Database</t>
  </si>
  <si>
    <t>Relational Database</t>
  </si>
  <si>
    <t>User table</t>
  </si>
  <si>
    <t>Beverage table</t>
  </si>
  <si>
    <t>coffee-machine--machine--machine-location</t>
  </si>
  <si>
    <t>Machine table</t>
  </si>
  <si>
    <t>location</t>
  </si>
  <si>
    <t>coffee-machine--machine--machine-name</t>
  </si>
  <si>
    <t>Name</t>
  </si>
  <si>
    <t>coffee-machine--machine--filtering-tags</t>
  </si>
  <si>
    <t>Machine_tag table</t>
  </si>
  <si>
    <t>tag</t>
  </si>
  <si>
    <t>beverage-production--consumption-records--consumption-record-timestamp</t>
  </si>
  <si>
    <t>Object database</t>
  </si>
  <si>
    <t>OrderContainer</t>
  </si>
  <si>
    <t>timestamp</t>
  </si>
  <si>
    <t>coffee-machine--machine-events--event-name</t>
  </si>
  <si>
    <t>Relational database</t>
  </si>
  <si>
    <t>EventType</t>
  </si>
  <si>
    <t>tags</t>
  </si>
  <si>
    <t>coffee-machine--machine--sorting-tags</t>
  </si>
  <si>
    <t>MachineTag table</t>
  </si>
  <si>
    <t>coffee-machine--machine--serial-number</t>
  </si>
  <si>
    <t>machine/info/serial</t>
  </si>
  <si>
    <t>serial</t>
  </si>
  <si>
    <t>coffee-machine--machine-events--event-title</t>
  </si>
  <si>
    <t>Event table</t>
  </si>
  <si>
    <t>Title</t>
  </si>
  <si>
    <t>coffee-machine--machine-state--total-error-count</t>
  </si>
  <si>
    <t>machineevent table</t>
  </si>
  <si>
    <t>count()</t>
  </si>
  <si>
    <t>coffee-machine--machine-state--monthly-error-count</t>
  </si>
  <si>
    <t>beverage-production--consumption-records--beverage-count</t>
  </si>
  <si>
    <t>beverage-production--consumption-records--customized-beverage-count</t>
  </si>
  <si>
    <t>coffee-machine--machine-state--event-type</t>
  </si>
  <si>
    <t>event table</t>
  </si>
  <si>
    <t>coffee-machine--machine-state--event-status</t>
  </si>
  <si>
    <t>EventStatus</t>
  </si>
  <si>
    <t>coffee-machine--machine--machine-customer-id</t>
  </si>
  <si>
    <t>CustomerId</t>
  </si>
  <si>
    <t>coffee-machine--machine--mobile-data-usage</t>
  </si>
  <si>
    <t>MobileDataUsage</t>
  </si>
  <si>
    <t>coffee-machine--machine--pairing-date</t>
  </si>
  <si>
    <t>PairingDate</t>
  </si>
  <si>
    <t>coffee-machine--machine--machine-id</t>
  </si>
  <si>
    <t>Timeseries Database</t>
  </si>
  <si>
    <t>machine_data</t>
  </si>
  <si>
    <t>coffee_machine_events</t>
  </si>
  <si>
    <t>machine_id​</t>
  </si>
  <si>
    <t>coffee-machine--machine--distributor-id</t>
  </si>
  <si>
    <t>distributor_id​</t>
  </si>
  <si>
    <t>order_beverage​</t>
  </si>
  <si>
    <t>order_volume​</t>
  </si>
  <si>
    <t>order_ml​</t>
  </si>
  <si>
    <t>order_strength​</t>
  </si>
  <si>
    <t>order_etc​</t>
  </si>
  <si>
    <t>order_sugar</t>
  </si>
  <si>
    <t>order_topping​</t>
  </si>
  <si>
    <t>​event_id​</t>
  </si>
  <si>
    <t>coffee-machine--machine-events--event-storage-time</t>
  </si>
  <si>
    <t>default_timestamp</t>
  </si>
  <si>
    <t>coffee-machine--machine-events--event-occurrence-time</t>
  </si>
  <si>
    <t>occurred_at​</t>
  </si>
  <si>
    <t>Consumption table</t>
  </si>
  <si>
    <t>beverage-production--consumption-records--hourly-beverage-count</t>
  </si>
  <si>
    <t>quantity</t>
  </si>
  <si>
    <t>coffee-machine--machine-events--hour-start-time</t>
  </si>
  <si>
    <t>timestamp_hour​</t>
  </si>
  <si>
    <t>beverage-production--consumption-records--aggregation-time</t>
  </si>
  <si>
    <t>aggregated_at​</t>
  </si>
  <si>
    <t>product-asset-management--recipe-update--update-notification-id</t>
  </si>
  <si>
    <t>Recipe update notification</t>
  </si>
  <si>
    <t>notification_id</t>
  </si>
  <si>
    <t>product-asset-management--recipe-update--notification-sent-time</t>
  </si>
  <si>
    <t>sent_at</t>
  </si>
  <si>
    <t>distributor_id</t>
  </si>
  <si>
    <t>machine_id</t>
  </si>
  <si>
    <t>coffee-machine----machine-recipe--recipe-id</t>
  </si>
  <si>
    <t>recipe_id</t>
  </si>
  <si>
    <t>product-asset-management--recipe-update--recipe-target-version</t>
  </si>
  <si>
    <t>target_version</t>
  </si>
  <si>
    <t>product-asset-management--recipe-update--update-artifact-location</t>
  </si>
  <si>
    <t>artifact_uri</t>
  </si>
  <si>
    <t>product-asset-management--recipe-update--update-artifact-checksum</t>
  </si>
  <si>
    <t>artifact_sha256</t>
  </si>
  <si>
    <t>product-asset-management--recipe-update--update-artifact-size</t>
  </si>
  <si>
    <t>size_bytes</t>
  </si>
  <si>
    <t>update mandatory</t>
  </si>
  <si>
    <t>product-asset-management--recipe-update--update-mandatory</t>
  </si>
  <si>
    <t>mandatory</t>
  </si>
  <si>
    <t>product-asset-management--recipe-update--update-notes</t>
  </si>
  <si>
    <t>notes</t>
  </si>
  <si>
    <t>Kafka Cluster</t>
  </si>
  <si>
    <t>Recipe Notification Topic</t>
  </si>
  <si>
    <t>Beverage Event Topic</t>
  </si>
  <si>
    <t>Beverage event</t>
  </si>
  <si>
    <t>event_id</t>
  </si>
  <si>
    <t>coffee-machine-----machine-recipe--ml</t>
  </si>
  <si>
    <t>Content Structure Intermediate Qualified Name</t>
  </si>
  <si>
    <t>System</t>
  </si>
  <si>
    <t>Data Collection</t>
  </si>
  <si>
    <t>Dataset</t>
  </si>
  <si>
    <t>Content structure Qualified Name</t>
  </si>
  <si>
    <t>Deleted Domain Qualified Name</t>
  </si>
  <si>
    <t>Deleted Entity Qualified Name</t>
  </si>
  <si>
    <t>Deleted Attribute Qualified Name</t>
  </si>
  <si>
    <t>Deleted Field Attribute Qualified Name</t>
  </si>
  <si>
    <t>_id</t>
  </si>
  <si>
    <t>_index</t>
  </si>
  <si>
    <t>_type</t>
  </si>
  <si>
    <t>business_rule_id</t>
  </si>
  <si>
    <t>data_attribute_name.keyword</t>
  </si>
  <si>
    <t>data_attribute_name</t>
  </si>
  <si>
    <t>data_attribute_qualified_name.keyword</t>
  </si>
  <si>
    <t>data_attribute_qualified_name</t>
  </si>
  <si>
    <t>data_domain_name.keyword</t>
  </si>
  <si>
    <t>data_domain_name</t>
  </si>
  <si>
    <t>data_domain_qualified_name.keyword</t>
  </si>
  <si>
    <t>data_domain_qualified_name</t>
  </si>
  <si>
    <t>data_entity_name.keyword</t>
  </si>
  <si>
    <t>data_entity_name</t>
  </si>
  <si>
    <t>data_entity_qualified_name.keyword</t>
  </si>
  <si>
    <t>data_entity_qualified_name</t>
  </si>
  <si>
    <t>data_field_name.keyword</t>
  </si>
  <si>
    <t>data_field_name</t>
  </si>
  <si>
    <t>data_field_qualified_name.keyword</t>
  </si>
  <si>
    <t>data_field_qualified_name</t>
  </si>
  <si>
    <t>dq_score</t>
  </si>
  <si>
    <t>The data quality score is the result of the performed expression, the score is a numeric value within the range 0-1.</t>
  </si>
  <si>
    <t>expression.keyword</t>
  </si>
  <si>
    <t>expression</t>
  </si>
  <si>
    <t>expression_version</t>
  </si>
  <si>
    <t>result_id.keyword</t>
  </si>
  <si>
    <t>result_id</t>
  </si>
  <si>
    <t>run_date</t>
  </si>
  <si>
    <t>run_id.keyword</t>
  </si>
  <si>
    <t>run_id</t>
  </si>
  <si>
    <t>status.keyword</t>
  </si>
  <si>
    <t>status</t>
  </si>
  <si>
    <t>test_date</t>
  </si>
  <si>
    <t>System Intermediate Qualified Name</t>
  </si>
  <si>
    <t>Process Name</t>
  </si>
  <si>
    <t>Process Intermediate Qualified Name</t>
  </si>
  <si>
    <t>Process Qualified Name</t>
  </si>
  <si>
    <t>Input 1</t>
  </si>
  <si>
    <t>Input 2</t>
  </si>
  <si>
    <t>Input 3</t>
  </si>
  <si>
    <t>Input 4</t>
  </si>
  <si>
    <t>Output 1</t>
  </si>
  <si>
    <t>Output 2</t>
  </si>
  <si>
    <t>Output 3</t>
  </si>
  <si>
    <t>Output 4</t>
  </si>
  <si>
    <t>Process Owner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</si>
</sst>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b/>
      <sz val="11"/>
      <color theme="1"/>
      <name val="Calibri"/>
      <family val="2"/>
      <scheme val="minor"/>
    </font>
    <font>
      <sz val="10"/>
      <color theme="1"/>
      <name val="Arial"/>
      <family val="2"/>
    </font>
    <font>
      <sz val="8"/>
      <name val="Calibri"/>
      <family val="2"/>
      <scheme val="minor"/>
    </font>
    <font>
      <sz val="11"/>
      <color theme="1"/>
      <name val="Arial"/>
      <family val="2"/>
    </font>
    <font>
      <b/>
      <sz val="14"/>
      <color theme="0"/>
      <name val="Bahnschrift"/>
      <family val="2"/>
    </font>
    <font>
      <b/>
      <sz val="14"/>
      <color rgb="FFFFFFFF"/>
      <name val="Bahnschrift"/>
      <family val="2"/>
    </font>
    <font>
      <sz val="28"/>
      <color theme="5"/>
      <name val="Bahnschrift"/>
      <family val="2"/>
    </font>
    <font>
      <sz val="11"/>
      <color theme="5"/>
      <name val="Bahnschrift"/>
      <family val="2"/>
    </font>
    <font>
      <sz val="11"/>
      <color rgb="FF4D4D4D"/>
      <name val="Arial"/>
      <family val="2"/>
    </font>
    <font>
      <sz val="11"/>
      <color rgb="FFFF0000"/>
      <name val="Calibri"/>
      <family val="2"/>
      <scheme val="minor"/>
    </font>
    <font>
      <b/>
      <sz val="11"/>
      <color theme="0"/>
      <name val="Calibri"/>
      <family val="2"/>
      <scheme val="minor"/>
    </font>
    <font>
      <sz val="11"/>
      <color theme="0"/>
      <name val="Calibri"/>
      <family val="2"/>
      <scheme val="minor"/>
    </font>
    <font>
      <sz val="11"/>
      <color rgb="FFFFFFFF"/>
      <name val="Calibri"/>
      <family val="2"/>
      <scheme val="minor"/>
    </font>
    <font>
      <sz val="10"/>
      <name val="Arial"/>
      <family val="2"/>
    </font>
    <font>
      <sz val="11"/>
      <name val="Calibri"/>
      <family val="2"/>
      <scheme val="minor"/>
    </font>
    <font>
      <b/>
      <sz val="48"/>
      <color rgb="FF0070C0"/>
      <name val="Bahnschrift"/>
      <family val="2"/>
    </font>
    <font>
      <b/>
      <sz val="28"/>
      <color theme="8"/>
      <name val="Arial"/>
      <family val="2"/>
    </font>
    <font>
      <b/>
      <sz val="26"/>
      <color rgb="FFFF8702"/>
      <name val="Bahnschrift"/>
      <family val="2"/>
    </font>
    <font>
      <sz val="11"/>
      <color rgb="FF000000"/>
      <name val="Arial"/>
      <family val="2"/>
    </font>
    <font>
      <sz val="26"/>
      <color rgb="FFED7D31"/>
      <name val="Bahnschrift"/>
      <family val="2"/>
    </font>
    <font>
      <sz val="12"/>
      <color rgb="FF000000"/>
      <name val="Arial"/>
      <family val="2"/>
    </font>
    <font>
      <sz val="10"/>
      <color rgb="FFFF0000"/>
      <name val="Arial"/>
      <family val="2"/>
    </font>
    <font>
      <u/>
      <sz val="11"/>
      <color theme="10"/>
      <name val="Calibri"/>
      <family val="2"/>
      <scheme val="minor"/>
    </font>
    <font>
      <sz val="11"/>
      <color rgb="FF000000"/>
      <name val="Aptos Narrow"/>
      <family val="2"/>
    </font>
    <font>
      <sz val="11"/>
      <color rgb="FF000000"/>
      <name val="Aptos Narrow"/>
    </font>
    <font>
      <sz val="11"/>
      <color rgb="FFFF0000"/>
      <name val="Aptos Narrow"/>
    </font>
    <font>
      <sz val="11"/>
      <color rgb="FF000000"/>
      <name val="Calibri"/>
      <family val="2"/>
      <scheme val="minor"/>
    </font>
    <font>
      <sz val="11"/>
      <color rgb="FF000000"/>
      <name val="Aptos Narrow"/>
      <charset val="1"/>
    </font>
  </fonts>
  <fills count="18">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bgColor theme="4"/>
      </patternFill>
    </fill>
    <fill>
      <patternFill patternType="solid">
        <fgColor rgb="FFFF8702"/>
        <bgColor indexed="64"/>
      </patternFill>
    </fill>
    <fill>
      <patternFill patternType="solid">
        <fgColor rgb="FF00B0F0"/>
        <bgColor indexed="64"/>
      </patternFill>
    </fill>
    <fill>
      <patternFill patternType="solid">
        <fgColor rgb="FF253A7B"/>
        <bgColor indexed="64"/>
      </patternFill>
    </fill>
    <fill>
      <patternFill patternType="solid">
        <fgColor rgb="FF7030A0"/>
        <bgColor theme="4"/>
      </patternFill>
    </fill>
    <fill>
      <patternFill patternType="solid">
        <fgColor rgb="FFC00000"/>
        <bgColor theme="4"/>
      </patternFill>
    </fill>
    <fill>
      <patternFill patternType="solid">
        <fgColor rgb="FFFFFFFF"/>
        <bgColor rgb="FF000000"/>
      </patternFill>
    </fill>
    <fill>
      <patternFill patternType="solid">
        <fgColor rgb="FF0070C0"/>
        <bgColor rgb="FF000000"/>
      </patternFill>
    </fill>
    <fill>
      <patternFill patternType="solid">
        <fgColor rgb="FF00B0F0"/>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4" tint="0.59999389629810485"/>
        <bgColor indexed="64"/>
      </patternFill>
    </fill>
  </fills>
  <borders count="33">
    <border>
      <left/>
      <right/>
      <top/>
      <bottom/>
      <diagonal/>
    </border>
    <border>
      <left style="hair">
        <color auto="1"/>
      </left>
      <right style="hair">
        <color auto="1"/>
      </right>
      <top style="hair">
        <color auto="1"/>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right style="hair">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hair">
        <color auto="1"/>
      </left>
      <right style="hair">
        <color auto="1"/>
      </right>
      <top/>
      <bottom style="hair">
        <color auto="1"/>
      </bottom>
      <diagonal/>
    </border>
    <border>
      <left style="hair">
        <color auto="1"/>
      </left>
      <right style="hair">
        <color auto="1"/>
      </right>
      <top/>
      <bottom/>
      <diagonal/>
    </border>
  </borders>
  <cellStyleXfs count="2">
    <xf numFmtId="0" fontId="0" fillId="0" borderId="0"/>
    <xf numFmtId="0" fontId="23" fillId="0" borderId="0" applyNumberFormat="0" applyFill="0" applyBorder="0" applyAlignment="0" applyProtection="0"/>
  </cellStyleXfs>
  <cellXfs count="147">
    <xf numFmtId="0" fontId="0" fillId="0" borderId="0" xfId="0"/>
    <xf numFmtId="0" fontId="2" fillId="0" borderId="1" xfId="0" applyFont="1" applyBorder="1" applyAlignment="1">
      <alignment horizontal="left" vertical="top" wrapText="1"/>
    </xf>
    <xf numFmtId="0" fontId="2" fillId="2" borderId="0" xfId="0" applyFont="1" applyFill="1" applyAlignment="1">
      <alignment horizontal="left" vertical="top" wrapText="1"/>
    </xf>
    <xf numFmtId="0" fontId="0" fillId="3" borderId="2" xfId="0" applyFill="1" applyBorder="1"/>
    <xf numFmtId="0" fontId="0" fillId="3" borderId="3" xfId="0" applyFill="1" applyBorder="1"/>
    <xf numFmtId="0" fontId="0" fillId="3" borderId="4" xfId="0" applyFill="1" applyBorder="1"/>
    <xf numFmtId="0" fontId="0" fillId="3" borderId="0" xfId="0" applyFill="1"/>
    <xf numFmtId="0" fontId="0" fillId="3" borderId="6"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7" fillId="3" borderId="0" xfId="0" applyFont="1" applyFill="1"/>
    <xf numFmtId="0" fontId="8" fillId="3" borderId="0" xfId="0" applyFont="1" applyFill="1"/>
    <xf numFmtId="0" fontId="9" fillId="3" borderId="0" xfId="0" applyFont="1" applyFill="1" applyAlignment="1">
      <alignment vertical="top" wrapText="1"/>
    </xf>
    <xf numFmtId="0" fontId="6" fillId="3" borderId="0" xfId="0" applyFont="1" applyFill="1"/>
    <xf numFmtId="0" fontId="6" fillId="3" borderId="0" xfId="0" applyFont="1" applyFill="1" applyAlignment="1">
      <alignment vertical="top"/>
    </xf>
    <xf numFmtId="0" fontId="5" fillId="3" borderId="0" xfId="0" applyFont="1" applyFill="1" applyAlignment="1">
      <alignment textRotation="90" wrapText="1"/>
    </xf>
    <xf numFmtId="0" fontId="2" fillId="0" borderId="0" xfId="0" applyFont="1" applyAlignment="1">
      <alignment horizontal="left" vertical="top" wrapText="1"/>
    </xf>
    <xf numFmtId="0" fontId="10" fillId="3" borderId="0" xfId="0" applyFont="1" applyFill="1"/>
    <xf numFmtId="0" fontId="13" fillId="7" borderId="0" xfId="0" applyFont="1" applyFill="1"/>
    <xf numFmtId="0" fontId="13" fillId="6" borderId="0" xfId="0" applyFont="1" applyFill="1"/>
    <xf numFmtId="0" fontId="13" fillId="5" borderId="0" xfId="0" applyFont="1" applyFill="1"/>
    <xf numFmtId="0" fontId="12" fillId="4" borderId="14" xfId="0" applyFont="1" applyFill="1" applyBorder="1"/>
    <xf numFmtId="0" fontId="12" fillId="4" borderId="11" xfId="0" applyFont="1" applyFill="1" applyBorder="1"/>
    <xf numFmtId="0" fontId="12" fillId="4" borderId="12" xfId="0" applyFont="1" applyFill="1" applyBorder="1"/>
    <xf numFmtId="0" fontId="12" fillId="8" borderId="14" xfId="0" applyFont="1" applyFill="1" applyBorder="1"/>
    <xf numFmtId="0" fontId="12" fillId="9" borderId="10" xfId="0" applyFont="1" applyFill="1" applyBorder="1"/>
    <xf numFmtId="0" fontId="12" fillId="9" borderId="11" xfId="0" applyFont="1" applyFill="1" applyBorder="1"/>
    <xf numFmtId="0" fontId="12" fillId="8" borderId="11" xfId="0" applyFont="1" applyFill="1" applyBorder="1"/>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2" borderId="0" xfId="0" applyFill="1" applyAlignment="1">
      <alignment vertical="top"/>
    </xf>
    <xf numFmtId="0" fontId="15" fillId="0" borderId="0" xfId="0" applyFont="1"/>
    <xf numFmtId="0" fontId="14" fillId="0" borderId="0" xfId="0" applyFont="1" applyAlignment="1">
      <alignment horizontal="left" vertical="top" wrapText="1"/>
    </xf>
    <xf numFmtId="0" fontId="14" fillId="2" borderId="0" xfId="0" applyFont="1" applyFill="1" applyAlignment="1">
      <alignment horizontal="left" vertical="top" wrapText="1"/>
    </xf>
    <xf numFmtId="0" fontId="0" fillId="0" borderId="5" xfId="0" applyBorder="1"/>
    <xf numFmtId="0" fontId="0" fillId="3" borderId="18" xfId="0" applyFill="1" applyBorder="1"/>
    <xf numFmtId="0" fontId="0" fillId="3" borderId="19" xfId="0" applyFill="1" applyBorder="1"/>
    <xf numFmtId="0" fontId="0" fillId="3" borderId="20" xfId="0" applyFill="1" applyBorder="1"/>
    <xf numFmtId="0" fontId="0" fillId="3" borderId="21" xfId="0" applyFill="1" applyBorder="1"/>
    <xf numFmtId="0" fontId="0" fillId="3" borderId="22" xfId="0" applyFill="1" applyBorder="1"/>
    <xf numFmtId="0" fontId="2" fillId="3" borderId="0" xfId="0" applyFont="1" applyFill="1"/>
    <xf numFmtId="0" fontId="19" fillId="10" borderId="0" xfId="0" applyFont="1" applyFill="1"/>
    <xf numFmtId="0" fontId="19" fillId="10" borderId="2" xfId="0" applyFont="1" applyFill="1" applyBorder="1"/>
    <xf numFmtId="0" fontId="19" fillId="10" borderId="3" xfId="0" applyFont="1" applyFill="1" applyBorder="1"/>
    <xf numFmtId="0" fontId="19" fillId="10" borderId="4" xfId="0" applyFont="1" applyFill="1" applyBorder="1"/>
    <xf numFmtId="0" fontId="19" fillId="10" borderId="5" xfId="0" applyFont="1" applyFill="1" applyBorder="1"/>
    <xf numFmtId="0" fontId="20" fillId="10" borderId="0" xfId="0" applyFont="1" applyFill="1"/>
    <xf numFmtId="0" fontId="19" fillId="10" borderId="6" xfId="0" applyFont="1" applyFill="1" applyBorder="1"/>
    <xf numFmtId="0" fontId="6" fillId="11" borderId="2" xfId="0" applyFont="1" applyFill="1" applyBorder="1"/>
    <xf numFmtId="0" fontId="6" fillId="11" borderId="3" xfId="0" applyFont="1" applyFill="1" applyBorder="1"/>
    <xf numFmtId="0" fontId="21" fillId="10" borderId="5" xfId="0" applyFont="1" applyFill="1" applyBorder="1" applyAlignment="1">
      <alignment vertical="top"/>
    </xf>
    <xf numFmtId="0" fontId="19" fillId="10" borderId="0" xfId="0" quotePrefix="1" applyFont="1" applyFill="1"/>
    <xf numFmtId="0" fontId="21" fillId="10" borderId="7" xfId="0" applyFont="1" applyFill="1" applyBorder="1" applyAlignment="1">
      <alignment vertical="top"/>
    </xf>
    <xf numFmtId="14" fontId="21" fillId="10" borderId="8" xfId="0" applyNumberFormat="1" applyFont="1" applyFill="1" applyBorder="1" applyAlignment="1">
      <alignment vertical="top"/>
    </xf>
    <xf numFmtId="0" fontId="19" fillId="10" borderId="7" xfId="0" applyFont="1" applyFill="1" applyBorder="1"/>
    <xf numFmtId="0" fontId="19" fillId="10" borderId="8" xfId="0" applyFont="1" applyFill="1" applyBorder="1"/>
    <xf numFmtId="0" fontId="19" fillId="10" borderId="9" xfId="0" applyFont="1" applyFill="1" applyBorder="1"/>
    <xf numFmtId="14" fontId="21" fillId="10" borderId="0" xfId="0" applyNumberFormat="1" applyFont="1" applyFill="1" applyAlignment="1">
      <alignment vertical="top"/>
    </xf>
    <xf numFmtId="0" fontId="12" fillId="12" borderId="11" xfId="0" applyFont="1" applyFill="1" applyBorder="1"/>
    <xf numFmtId="0" fontId="4" fillId="3" borderId="0" xfId="0" applyFont="1" applyFill="1" applyAlignment="1">
      <alignment horizontal="left"/>
    </xf>
    <xf numFmtId="0" fontId="0" fillId="0" borderId="0" xfId="0" applyAlignment="1">
      <alignment wrapText="1"/>
    </xf>
    <xf numFmtId="0" fontId="19" fillId="10" borderId="0" xfId="0" applyFont="1" applyFill="1" applyAlignment="1">
      <alignment vertical="top"/>
    </xf>
    <xf numFmtId="0" fontId="15" fillId="0" borderId="0" xfId="0" applyFont="1" applyAlignment="1">
      <alignment vertical="top"/>
    </xf>
    <xf numFmtId="0" fontId="15" fillId="0" borderId="11" xfId="0" applyFont="1" applyBorder="1"/>
    <xf numFmtId="0" fontId="15" fillId="0" borderId="14" xfId="0" applyFont="1" applyBorder="1"/>
    <xf numFmtId="0" fontId="11" fillId="0" borderId="13" xfId="0" applyFont="1" applyBorder="1"/>
    <xf numFmtId="0" fontId="0" fillId="0" borderId="11" xfId="0" applyBorder="1" applyAlignment="1">
      <alignment wrapText="1"/>
    </xf>
    <xf numFmtId="0" fontId="0" fillId="0" borderId="12" xfId="0" applyBorder="1" applyAlignment="1">
      <alignment wrapText="1"/>
    </xf>
    <xf numFmtId="0" fontId="11" fillId="0" borderId="13" xfId="0" applyFont="1" applyBorder="1" applyAlignment="1">
      <alignment wrapText="1"/>
    </xf>
    <xf numFmtId="0" fontId="0" fillId="2" borderId="0" xfId="0" applyFill="1"/>
    <xf numFmtId="0" fontId="14" fillId="0" borderId="0" xfId="0" applyFont="1" applyAlignment="1">
      <alignment vertical="top"/>
    </xf>
    <xf numFmtId="0" fontId="2" fillId="0" borderId="0" xfId="0" applyFont="1" applyAlignment="1">
      <alignment vertical="top"/>
    </xf>
    <xf numFmtId="0" fontId="10" fillId="0" borderId="0" xfId="0" applyFont="1" applyAlignment="1">
      <alignment vertical="top"/>
    </xf>
    <xf numFmtId="0" fontId="22" fillId="0" borderId="0" xfId="0" applyFont="1" applyAlignment="1">
      <alignment vertical="top"/>
    </xf>
    <xf numFmtId="0" fontId="14" fillId="0" borderId="1" xfId="0" applyFont="1" applyBorder="1" applyAlignment="1">
      <alignment horizontal="left" vertical="top" wrapText="1"/>
    </xf>
    <xf numFmtId="0" fontId="22" fillId="0" borderId="0" xfId="0" applyFont="1" applyAlignment="1">
      <alignment vertical="top" wrapText="1"/>
    </xf>
    <xf numFmtId="0" fontId="0" fillId="13" borderId="10" xfId="0" applyFill="1" applyBorder="1"/>
    <xf numFmtId="0" fontId="0" fillId="14" borderId="0" xfId="0" applyFill="1"/>
    <xf numFmtId="0" fontId="2" fillId="0" borderId="23" xfId="0" applyFont="1" applyBorder="1" applyAlignment="1">
      <alignment horizontal="left"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2" fillId="0" borderId="26" xfId="0" applyFont="1" applyBorder="1" applyAlignment="1">
      <alignment horizontal="left" vertical="top" wrapText="1"/>
    </xf>
    <xf numFmtId="0" fontId="2" fillId="0" borderId="27" xfId="0" applyFont="1" applyBorder="1" applyAlignment="1">
      <alignment horizontal="left" vertical="top" wrapText="1"/>
    </xf>
    <xf numFmtId="0" fontId="2" fillId="0" borderId="25" xfId="0" applyFont="1" applyBorder="1" applyAlignment="1">
      <alignment vertical="top"/>
    </xf>
    <xf numFmtId="0" fontId="2" fillId="0" borderId="25" xfId="0" applyFont="1" applyBorder="1" applyAlignment="1">
      <alignment vertical="top" wrapText="1"/>
    </xf>
    <xf numFmtId="0" fontId="2" fillId="0" borderId="5" xfId="0" applyFont="1" applyBorder="1" applyAlignment="1">
      <alignment horizontal="left" vertical="top" wrapText="1"/>
    </xf>
    <xf numFmtId="0" fontId="23" fillId="0" borderId="0" xfId="1"/>
    <xf numFmtId="0" fontId="0" fillId="0" borderId="29" xfId="0" applyBorder="1"/>
    <xf numFmtId="0" fontId="0" fillId="0" borderId="29" xfId="0" applyBorder="1" applyAlignment="1">
      <alignment horizontal="left"/>
    </xf>
    <xf numFmtId="0" fontId="23" fillId="0" borderId="1" xfId="1" applyBorder="1" applyAlignment="1">
      <alignment horizontal="left" vertical="top" wrapText="1"/>
    </xf>
    <xf numFmtId="0" fontId="0" fillId="2" borderId="0" xfId="0" applyFill="1" applyAlignment="1">
      <alignment vertical="top" wrapText="1"/>
    </xf>
    <xf numFmtId="0" fontId="24" fillId="13" borderId="11" xfId="0" applyFont="1" applyFill="1" applyBorder="1"/>
    <xf numFmtId="0" fontId="24" fillId="0" borderId="11" xfId="0" applyFont="1" applyBorder="1"/>
    <xf numFmtId="0" fontId="0" fillId="13" borderId="11" xfId="0" applyFill="1" applyBorder="1" applyAlignment="1">
      <alignment vertical="top"/>
    </xf>
    <xf numFmtId="0" fontId="0" fillId="0" borderId="11" xfId="0" applyBorder="1"/>
    <xf numFmtId="0" fontId="0" fillId="0" borderId="11" xfId="0" applyBorder="1" applyAlignment="1">
      <alignment vertical="top"/>
    </xf>
    <xf numFmtId="0" fontId="0" fillId="13" borderId="11" xfId="0" applyFill="1" applyBorder="1" applyAlignment="1">
      <alignment wrapText="1"/>
    </xf>
    <xf numFmtId="0" fontId="24" fillId="13" borderId="11" xfId="0" applyFont="1" applyFill="1" applyBorder="1" applyAlignment="1">
      <alignment wrapText="1"/>
    </xf>
    <xf numFmtId="0" fontId="25" fillId="0" borderId="11" xfId="0" applyFont="1" applyBorder="1" applyAlignment="1">
      <alignment wrapText="1"/>
    </xf>
    <xf numFmtId="0" fontId="24" fillId="0" borderId="11" xfId="0" applyFont="1" applyBorder="1" applyAlignment="1">
      <alignment wrapText="1"/>
    </xf>
    <xf numFmtId="0" fontId="25" fillId="13" borderId="11" xfId="0" applyFont="1" applyFill="1" applyBorder="1" applyAlignment="1">
      <alignment wrapText="1"/>
    </xf>
    <xf numFmtId="0" fontId="27" fillId="13" borderId="11" xfId="0" applyFont="1" applyFill="1" applyBorder="1" applyAlignment="1">
      <alignment wrapText="1"/>
    </xf>
    <xf numFmtId="0" fontId="0" fillId="0" borderId="6" xfId="0" applyBorder="1" applyAlignment="1">
      <alignment vertical="top"/>
    </xf>
    <xf numFmtId="0" fontId="4" fillId="0" borderId="29" xfId="0" applyFont="1" applyBorder="1" applyAlignment="1">
      <alignment horizontal="left" vertical="top" wrapText="1"/>
    </xf>
    <xf numFmtId="0" fontId="4" fillId="0" borderId="30" xfId="0" applyFont="1" applyBorder="1" applyAlignment="1">
      <alignment horizontal="left" vertical="top" wrapText="1"/>
    </xf>
    <xf numFmtId="0" fontId="0" fillId="2" borderId="28" xfId="0" applyFill="1" applyBorder="1" applyAlignment="1">
      <alignment vertical="top"/>
    </xf>
    <xf numFmtId="0" fontId="2" fillId="0" borderId="31" xfId="0" applyFont="1" applyBorder="1" applyAlignment="1">
      <alignment horizontal="left" vertical="top" wrapText="1"/>
    </xf>
    <xf numFmtId="0" fontId="2" fillId="0" borderId="32" xfId="0" applyFont="1" applyBorder="1" applyAlignment="1">
      <alignment horizontal="left" vertical="top" wrapText="1"/>
    </xf>
    <xf numFmtId="0" fontId="25" fillId="15" borderId="0" xfId="0" applyFont="1" applyFill="1" applyAlignment="1">
      <alignment wrapText="1"/>
    </xf>
    <xf numFmtId="0" fontId="0" fillId="15" borderId="0" xfId="0" applyFill="1" applyAlignment="1">
      <alignment wrapText="1"/>
    </xf>
    <xf numFmtId="0" fontId="25" fillId="15" borderId="0" xfId="0" applyFont="1" applyFill="1"/>
    <xf numFmtId="0" fontId="0" fillId="15" borderId="0" xfId="0" applyFill="1" applyAlignment="1">
      <alignment vertical="top"/>
    </xf>
    <xf numFmtId="0" fontId="28" fillId="15" borderId="0" xfId="0" applyFont="1" applyFill="1"/>
    <xf numFmtId="0" fontId="25" fillId="16" borderId="0" xfId="0" applyFont="1" applyFill="1"/>
    <xf numFmtId="0" fontId="0" fillId="16" borderId="0" xfId="0" applyFill="1" applyAlignment="1">
      <alignment wrapText="1"/>
    </xf>
    <xf numFmtId="0" fontId="0" fillId="16" borderId="0" xfId="0" applyFill="1" applyAlignment="1">
      <alignment vertical="top"/>
    </xf>
    <xf numFmtId="0" fontId="25" fillId="16" borderId="0" xfId="0" applyFont="1" applyFill="1" applyAlignment="1">
      <alignment wrapText="1"/>
    </xf>
    <xf numFmtId="0" fontId="28" fillId="16" borderId="0" xfId="0" applyFont="1" applyFill="1"/>
    <xf numFmtId="0" fontId="0" fillId="17" borderId="0" xfId="0" applyFill="1" applyAlignment="1">
      <alignment vertical="top"/>
    </xf>
    <xf numFmtId="0" fontId="16" fillId="3" borderId="15" xfId="0" applyFont="1" applyFill="1" applyBorder="1" applyAlignment="1">
      <alignment horizontal="center"/>
    </xf>
    <xf numFmtId="0" fontId="16" fillId="3" borderId="16" xfId="0" applyFont="1" applyFill="1" applyBorder="1" applyAlignment="1">
      <alignment horizontal="center"/>
    </xf>
    <xf numFmtId="0" fontId="16" fillId="3" borderId="17" xfId="0" applyFont="1" applyFill="1" applyBorder="1" applyAlignment="1">
      <alignment horizontal="center"/>
    </xf>
    <xf numFmtId="0" fontId="17" fillId="3" borderId="18" xfId="0" applyFont="1" applyFill="1" applyBorder="1" applyAlignment="1">
      <alignment horizontal="center"/>
    </xf>
    <xf numFmtId="0" fontId="17" fillId="3" borderId="0" xfId="0" applyFont="1" applyFill="1" applyAlignment="1">
      <alignment horizontal="center"/>
    </xf>
    <xf numFmtId="0" fontId="17" fillId="3" borderId="19" xfId="0" applyFont="1" applyFill="1" applyBorder="1" applyAlignment="1">
      <alignment horizontal="center"/>
    </xf>
    <xf numFmtId="0" fontId="18" fillId="3" borderId="18" xfId="0" applyFont="1" applyFill="1" applyBorder="1" applyAlignment="1">
      <alignment horizontal="center"/>
    </xf>
    <xf numFmtId="0" fontId="18" fillId="3" borderId="0" xfId="0" applyFont="1" applyFill="1" applyAlignment="1">
      <alignment horizontal="center"/>
    </xf>
    <xf numFmtId="0" fontId="18" fillId="3" borderId="19" xfId="0" applyFont="1" applyFill="1" applyBorder="1" applyAlignment="1">
      <alignment horizontal="center"/>
    </xf>
    <xf numFmtId="0" fontId="19" fillId="10" borderId="0" xfId="0" applyFont="1" applyFill="1" applyAlignment="1">
      <alignment vertical="top"/>
    </xf>
    <xf numFmtId="0" fontId="21" fillId="10" borderId="0" xfId="0" quotePrefix="1" applyFont="1" applyFill="1" applyAlignment="1">
      <alignment vertical="top" wrapText="1"/>
    </xf>
    <xf numFmtId="0" fontId="21" fillId="10" borderId="0" xfId="0" applyFont="1" applyFill="1" applyAlignment="1">
      <alignment vertical="top" wrapText="1"/>
    </xf>
    <xf numFmtId="0" fontId="21" fillId="10" borderId="6" xfId="0" applyFont="1" applyFill="1" applyBorder="1" applyAlignment="1">
      <alignment vertical="top" wrapText="1"/>
    </xf>
    <xf numFmtId="0" fontId="21" fillId="10" borderId="8" xfId="0" quotePrefix="1" applyFont="1" applyFill="1" applyBorder="1" applyAlignment="1">
      <alignment vertical="top" wrapText="1"/>
    </xf>
    <xf numFmtId="0" fontId="21" fillId="10" borderId="8" xfId="0" applyFont="1" applyFill="1" applyBorder="1" applyAlignment="1">
      <alignment horizontal="left" vertical="top" wrapText="1"/>
    </xf>
    <xf numFmtId="0" fontId="21" fillId="10" borderId="9" xfId="0" applyFont="1" applyFill="1" applyBorder="1" applyAlignment="1">
      <alignment horizontal="left" vertical="top" wrapText="1"/>
    </xf>
    <xf numFmtId="0" fontId="21" fillId="10" borderId="0" xfId="0" quotePrefix="1" applyFont="1" applyFill="1" applyAlignment="1">
      <alignment horizontal="left" vertical="top" wrapText="1"/>
    </xf>
    <xf numFmtId="0" fontId="21" fillId="10" borderId="0" xfId="0" quotePrefix="1" applyFont="1" applyFill="1" applyAlignment="1">
      <alignment vertical="top"/>
    </xf>
    <xf numFmtId="0" fontId="21" fillId="10" borderId="0" xfId="0" applyFont="1" applyFill="1" applyAlignment="1">
      <alignment horizontal="left" vertical="top" wrapText="1"/>
    </xf>
    <xf numFmtId="0" fontId="21" fillId="10" borderId="6" xfId="0" applyFont="1" applyFill="1" applyBorder="1" applyAlignment="1">
      <alignment horizontal="left" vertical="top" wrapText="1"/>
    </xf>
    <xf numFmtId="0" fontId="6" fillId="11" borderId="3" xfId="0" applyFont="1" applyFill="1" applyBorder="1" applyAlignment="1">
      <alignment horizontal="left"/>
    </xf>
    <xf numFmtId="0" fontId="6" fillId="11" borderId="4" xfId="0" applyFont="1" applyFill="1" applyBorder="1" applyAlignment="1">
      <alignment horizontal="left"/>
    </xf>
    <xf numFmtId="0" fontId="21" fillId="10" borderId="0" xfId="0" quotePrefix="1" applyFont="1" applyFill="1" applyAlignment="1">
      <alignment horizontal="left" vertical="top"/>
    </xf>
    <xf numFmtId="0" fontId="9" fillId="3" borderId="0" xfId="0" applyFont="1" applyFill="1" applyAlignment="1">
      <alignment horizontal="left" vertical="top" wrapText="1"/>
    </xf>
    <xf numFmtId="0" fontId="5" fillId="3" borderId="0" xfId="0" applyFont="1" applyFill="1" applyAlignment="1">
      <alignment horizontal="center" textRotation="90" wrapText="1"/>
    </xf>
  </cellXfs>
  <cellStyles count="2">
    <cellStyle name="Hyperlink" xfId="1" builtinId="8"/>
    <cellStyle name="Normal" xfId="0" builtinId="0"/>
  </cellStyles>
  <dxfs count="137">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bgColor auto="1"/>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none">
          <fgColor theme="4"/>
          <bgColor auto="1"/>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border outline="0">
        <top style="thin">
          <color theme="4" tint="0.39997558519241921"/>
        </top>
      </border>
    </dxf>
    <dxf>
      <border outline="0">
        <bottom style="thin">
          <color theme="4" tint="0.39997558519241921"/>
        </bottom>
      </border>
    </dxf>
    <dxf>
      <font>
        <b val="0"/>
        <i val="0"/>
        <strike val="0"/>
        <condense val="0"/>
        <extend val="0"/>
        <outline val="0"/>
        <shadow val="0"/>
        <u val="none"/>
        <vertAlign val="baseline"/>
        <sz val="11"/>
        <color theme="0"/>
        <name val="Calibri"/>
        <family val="2"/>
        <scheme val="minor"/>
      </font>
      <fill>
        <patternFill patternType="solid">
          <fgColor theme="4"/>
          <bgColor theme="4"/>
        </patternFill>
      </fill>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rgb="FFFF0000"/>
        <name val="Arial"/>
        <family val="2"/>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fill>
        <patternFill patternType="none">
          <fgColor indexed="64"/>
          <bgColor auto="1"/>
        </patternFill>
      </fill>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right style="hair">
          <color auto="1"/>
        </right>
        <top style="hair">
          <color auto="1"/>
        </top>
        <bottom style="hair">
          <color auto="1"/>
        </bottom>
      </border>
    </dxf>
    <dxf>
      <font>
        <i val="0"/>
        <strike val="0"/>
        <outline val="0"/>
        <shadow val="0"/>
        <u val="none"/>
        <vertAlign val="baseline"/>
        <sz val="11"/>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outline="0">
        <left style="thin">
          <color indexed="64"/>
        </left>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right style="hair">
          <color auto="1"/>
        </right>
        <top style="hair">
          <color auto="1"/>
        </top>
        <bottom style="hair">
          <color auto="1"/>
        </bottom>
      </border>
    </dxf>
    <dxf>
      <numFmt numFmtId="0" formatCode="General"/>
      <fill>
        <patternFill patternType="none">
          <fgColor indexed="64"/>
          <bgColor auto="1"/>
        </patternFill>
      </fill>
      <alignment vertical="top" textRotation="0" indent="0" justifyLastLine="0" shrinkToFit="0" readingOrder="0"/>
      <border outline="0">
        <right style="thin">
          <color indexed="64"/>
        </right>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rgb="FFFFFF00"/>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tint="-0.249977111117893"/>
        </patternFill>
      </fill>
      <alignment vertical="top" textRotation="0" indent="0" justifyLastLine="0" shrinkToFit="0" readingOrder="0"/>
    </dxf>
    <dxf>
      <font>
        <b val="0"/>
      </font>
      <numFmt numFmtId="0" formatCode="General"/>
      <fill>
        <patternFill patternType="solid">
          <fgColor indexed="64"/>
          <bgColor theme="0" tint="-0.249977111117893"/>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vertical="top" textRotation="0" indent="0" justifyLastLine="0" shrinkToFit="0" readingOrder="0"/>
    </dxf>
    <dxf>
      <font>
        <b val="0"/>
      </font>
      <numFmt numFmtId="0" formatCode="Genera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ont>
        <sz val="10"/>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style="hair">
          <color auto="1"/>
        </top>
        <bottom style="hair">
          <color auto="1"/>
        </bottom>
      </border>
    </dxf>
    <dxf>
      <font>
        <sz val="10"/>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alignment vertical="top" textRotation="0" indent="0" justifyLastLine="0" shrinkToFit="0" readingOrder="0"/>
    </dxf>
    <dxf>
      <font>
        <sz val="10"/>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numFmt numFmtId="0" formatCode="General"/>
      <alignment vertical="top" textRotation="0" indent="0" justifyLastLine="0" shrinkToFit="0" readingOrder="0"/>
    </dxf>
    <dxf>
      <font>
        <sz val="10"/>
        <name val="Arial"/>
        <family val="2"/>
        <scheme val="none"/>
      </font>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general"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right/>
        <top style="thin">
          <color theme="4" tint="0.39997558519241921"/>
        </top>
        <bottom style="thin">
          <color theme="4" tint="0.3999755851924192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11</xdr:row>
      <xdr:rowOff>0</xdr:rowOff>
    </xdr:from>
    <xdr:to>
      <xdr:col>11</xdr:col>
      <xdr:colOff>2200275</xdr:colOff>
      <xdr:row>39</xdr:row>
      <xdr:rowOff>171450</xdr:rowOff>
    </xdr:to>
    <xdr:pic>
      <xdr:nvPicPr>
        <xdr:cNvPr id="2" name="Afbeelding 3">
          <a:extLst>
            <a:ext uri="{FF2B5EF4-FFF2-40B4-BE49-F238E27FC236}">
              <a16:creationId xmlns:a16="http://schemas.microsoft.com/office/drawing/2014/main" id="{0A80AA1D-1368-4868-8262-41A84CD73465}"/>
            </a:ext>
          </a:extLst>
        </xdr:cNvPr>
        <xdr:cNvPicPr>
          <a:picLocks noChangeAspect="1"/>
        </xdr:cNvPicPr>
      </xdr:nvPicPr>
      <xdr:blipFill>
        <a:blip xmlns:r="http://schemas.openxmlformats.org/officeDocument/2006/relationships" r:embed="rId1"/>
        <a:stretch>
          <a:fillRect/>
        </a:stretch>
      </xdr:blipFill>
      <xdr:spPr>
        <a:xfrm>
          <a:off x="1282700" y="2508250"/>
          <a:ext cx="10455275" cy="812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35717</xdr:colOff>
      <xdr:row>13</xdr:row>
      <xdr:rowOff>297657</xdr:rowOff>
    </xdr:from>
    <xdr:to>
      <xdr:col>15</xdr:col>
      <xdr:colOff>267073</xdr:colOff>
      <xdr:row>32</xdr:row>
      <xdr:rowOff>123345</xdr:rowOff>
    </xdr:to>
    <xdr:grpSp>
      <xdr:nvGrpSpPr>
        <xdr:cNvPr id="2" name="Group 1">
          <a:extLst>
            <a:ext uri="{FF2B5EF4-FFF2-40B4-BE49-F238E27FC236}">
              <a16:creationId xmlns:a16="http://schemas.microsoft.com/office/drawing/2014/main" id="{10ABD49C-5FF2-461F-8BF2-2972455C531E}"/>
            </a:ext>
          </a:extLst>
        </xdr:cNvPr>
        <xdr:cNvGrpSpPr/>
      </xdr:nvGrpSpPr>
      <xdr:grpSpPr>
        <a:xfrm>
          <a:off x="1331117" y="3283427"/>
          <a:ext cx="13096456" cy="5855648"/>
          <a:chOff x="-2" y="0"/>
          <a:chExt cx="12516752" cy="5707376"/>
        </a:xfrm>
      </xdr:grpSpPr>
      <xdr:grpSp>
        <xdr:nvGrpSpPr>
          <xdr:cNvPr id="3" name="Group 2">
            <a:extLst>
              <a:ext uri="{FF2B5EF4-FFF2-40B4-BE49-F238E27FC236}">
                <a16:creationId xmlns:a16="http://schemas.microsoft.com/office/drawing/2014/main" id="{3912BF65-4354-4D83-ABDA-6A10BB632B18}"/>
              </a:ext>
            </a:extLst>
          </xdr:cNvPr>
          <xdr:cNvGrpSpPr/>
        </xdr:nvGrpSpPr>
        <xdr:grpSpPr>
          <a:xfrm>
            <a:off x="9913250" y="417441"/>
            <a:ext cx="2603500" cy="1341272"/>
            <a:chOff x="9913250" y="417441"/>
            <a:chExt cx="2603500" cy="1341272"/>
          </a:xfrm>
        </xdr:grpSpPr>
        <xdr:sp macro="" textlink="">
          <xdr:nvSpPr>
            <xdr:cNvPr id="25" name="Rectangle 24">
              <a:extLst>
                <a:ext uri="{FF2B5EF4-FFF2-40B4-BE49-F238E27FC236}">
                  <a16:creationId xmlns:a16="http://schemas.microsoft.com/office/drawing/2014/main" id="{94F9EF28-D798-4EF7-85CA-E9D69D050578}"/>
                </a:ext>
              </a:extLst>
            </xdr:cNvPr>
            <xdr:cNvSpPr/>
          </xdr:nvSpPr>
          <xdr:spPr>
            <a:xfrm>
              <a:off x="9997244" y="679051"/>
              <a:ext cx="645644" cy="169101"/>
            </a:xfrm>
            <a:prstGeom prst="rect">
              <a:avLst/>
            </a:prstGeom>
            <a:solidFill>
              <a:srgbClr val="70AD47"/>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6" name="Rectangle 25">
              <a:extLst>
                <a:ext uri="{FF2B5EF4-FFF2-40B4-BE49-F238E27FC236}">
                  <a16:creationId xmlns:a16="http://schemas.microsoft.com/office/drawing/2014/main" id="{2E0A876C-62F6-49BE-89DB-6BA12C6F1283}"/>
                </a:ext>
              </a:extLst>
            </xdr:cNvPr>
            <xdr:cNvSpPr/>
          </xdr:nvSpPr>
          <xdr:spPr>
            <a:xfrm>
              <a:off x="9997244" y="953371"/>
              <a:ext cx="645644" cy="169101"/>
            </a:xfrm>
            <a:prstGeom prst="rect">
              <a:avLst/>
            </a:prstGeom>
            <a:solidFill>
              <a:srgbClr val="4472C4"/>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7" name="TextBox 105">
              <a:extLst>
                <a:ext uri="{FF2B5EF4-FFF2-40B4-BE49-F238E27FC236}">
                  <a16:creationId xmlns:a16="http://schemas.microsoft.com/office/drawing/2014/main" id="{F4AC3A7C-EE6A-4F85-BE21-CB434D971ACC}"/>
                </a:ext>
              </a:extLst>
            </xdr:cNvPr>
            <xdr:cNvSpPr txBox="1"/>
          </xdr:nvSpPr>
          <xdr:spPr>
            <a:xfrm>
              <a:off x="9913250" y="417441"/>
              <a:ext cx="2357120" cy="261610"/>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100" b="1" i="0" u="none" strike="noStrike" kern="0" cap="none" spc="0" normalizeH="0" baseline="0">
                  <a:ln>
                    <a:noFill/>
                  </a:ln>
                  <a:effectLst/>
                  <a:uLnTx/>
                  <a:uFillTx/>
                  <a:latin typeface="Calibri" panose="020F0502020204030204"/>
                  <a:ea typeface="+mn-ea"/>
                  <a:cs typeface="+mn-cs"/>
                </a:rPr>
                <a:t>Data owner / steward:</a:t>
              </a:r>
            </a:p>
          </xdr:txBody>
        </xdr:sp>
        <xdr:sp macro="" textlink="">
          <xdr:nvSpPr>
            <xdr:cNvPr id="28" name="Rectangle 27">
              <a:extLst>
                <a:ext uri="{FF2B5EF4-FFF2-40B4-BE49-F238E27FC236}">
                  <a16:creationId xmlns:a16="http://schemas.microsoft.com/office/drawing/2014/main" id="{575D4F86-6A09-4DF3-92D0-CCEFEA6D13C6}"/>
                </a:ext>
              </a:extLst>
            </xdr:cNvPr>
            <xdr:cNvSpPr/>
          </xdr:nvSpPr>
          <xdr:spPr>
            <a:xfrm>
              <a:off x="9997244" y="1238153"/>
              <a:ext cx="645644" cy="169101"/>
            </a:xfrm>
            <a:prstGeom prst="rect">
              <a:avLst/>
            </a:prstGeom>
            <a:solidFill>
              <a:srgbClr val="FF8702"/>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9" name="TextBox 107">
              <a:extLst>
                <a:ext uri="{FF2B5EF4-FFF2-40B4-BE49-F238E27FC236}">
                  <a16:creationId xmlns:a16="http://schemas.microsoft.com/office/drawing/2014/main" id="{E35FD846-5783-4F9E-A926-8790912BC712}"/>
                </a:ext>
              </a:extLst>
            </xdr:cNvPr>
            <xdr:cNvSpPr txBox="1"/>
          </xdr:nvSpPr>
          <xdr:spPr>
            <a:xfrm>
              <a:off x="10607036" y="12103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Finance &amp; Control</a:t>
              </a:r>
            </a:p>
          </xdr:txBody>
        </xdr:sp>
        <xdr:sp macro="" textlink="">
          <xdr:nvSpPr>
            <xdr:cNvPr id="30" name="TextBox 108">
              <a:extLst>
                <a:ext uri="{FF2B5EF4-FFF2-40B4-BE49-F238E27FC236}">
                  <a16:creationId xmlns:a16="http://schemas.microsoft.com/office/drawing/2014/main" id="{97910647-1BE2-48FF-A035-4E01EFAA8A64}"/>
                </a:ext>
              </a:extLst>
            </xdr:cNvPr>
            <xdr:cNvSpPr txBox="1"/>
          </xdr:nvSpPr>
          <xdr:spPr>
            <a:xfrm>
              <a:off x="10607036" y="648185"/>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Personnel &amp; Organization</a:t>
              </a:r>
            </a:p>
          </xdr:txBody>
        </xdr:sp>
        <xdr:sp macro="" textlink="">
          <xdr:nvSpPr>
            <xdr:cNvPr id="31" name="TextBox 109">
              <a:extLst>
                <a:ext uri="{FF2B5EF4-FFF2-40B4-BE49-F238E27FC236}">
                  <a16:creationId xmlns:a16="http://schemas.microsoft.com/office/drawing/2014/main" id="{35FC85BA-B750-490C-8A07-2F7201A24796}"/>
                </a:ext>
              </a:extLst>
            </xdr:cNvPr>
            <xdr:cNvSpPr txBox="1"/>
          </xdr:nvSpPr>
          <xdr:spPr>
            <a:xfrm>
              <a:off x="10607036" y="926958"/>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SMD Fleet Crew</a:t>
              </a:r>
            </a:p>
          </xdr:txBody>
        </xdr:sp>
        <xdr:sp macro="" textlink="">
          <xdr:nvSpPr>
            <xdr:cNvPr id="32" name="Rectangle 31">
              <a:extLst>
                <a:ext uri="{FF2B5EF4-FFF2-40B4-BE49-F238E27FC236}">
                  <a16:creationId xmlns:a16="http://schemas.microsoft.com/office/drawing/2014/main" id="{256553AE-C924-4098-9543-C5D558E6F8FC}"/>
                </a:ext>
              </a:extLst>
            </xdr:cNvPr>
            <xdr:cNvSpPr/>
          </xdr:nvSpPr>
          <xdr:spPr>
            <a:xfrm>
              <a:off x="9997244" y="1555653"/>
              <a:ext cx="645644" cy="169101"/>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33" name="TextBox 107">
              <a:extLst>
                <a:ext uri="{FF2B5EF4-FFF2-40B4-BE49-F238E27FC236}">
                  <a16:creationId xmlns:a16="http://schemas.microsoft.com/office/drawing/2014/main" id="{5DFE5BD3-9ACE-4C61-8DC7-93011A7DFCFF}"/>
                </a:ext>
              </a:extLst>
            </xdr:cNvPr>
            <xdr:cNvSpPr txBox="1"/>
          </xdr:nvSpPr>
          <xdr:spPr>
            <a:xfrm>
              <a:off x="10607036" y="15278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Project Office / BUs</a:t>
              </a:r>
            </a:p>
          </xdr:txBody>
        </xdr:sp>
      </xdr:grpSp>
      <xdr:sp macro="" textlink="">
        <xdr:nvSpPr>
          <xdr:cNvPr id="4" name="Rectangle 3">
            <a:extLst>
              <a:ext uri="{FF2B5EF4-FFF2-40B4-BE49-F238E27FC236}">
                <a16:creationId xmlns:a16="http://schemas.microsoft.com/office/drawing/2014/main" id="{6B030154-12FB-458D-BF18-177B9F0A57CA}"/>
              </a:ext>
            </a:extLst>
          </xdr:cNvPr>
          <xdr:cNvSpPr/>
        </xdr:nvSpPr>
        <xdr:spPr>
          <a:xfrm>
            <a:off x="2" y="555717"/>
            <a:ext cx="2666616" cy="2006254"/>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5" name="Rectangle 4">
            <a:extLst>
              <a:ext uri="{FF2B5EF4-FFF2-40B4-BE49-F238E27FC236}">
                <a16:creationId xmlns:a16="http://schemas.microsoft.com/office/drawing/2014/main" id="{F6A82C6B-E3F8-405C-A56B-E9BE7E6DF0EF}"/>
              </a:ext>
            </a:extLst>
          </xdr:cNvPr>
          <xdr:cNvSpPr/>
        </xdr:nvSpPr>
        <xdr:spPr>
          <a:xfrm>
            <a:off x="2" y="25399"/>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Organization</a:t>
            </a:r>
          </a:p>
        </xdr:txBody>
      </xdr:sp>
      <xdr:sp macro="" textlink="">
        <xdr:nvSpPr>
          <xdr:cNvPr id="6" name="TextBox 86">
            <a:extLst>
              <a:ext uri="{FF2B5EF4-FFF2-40B4-BE49-F238E27FC236}">
                <a16:creationId xmlns:a16="http://schemas.microsoft.com/office/drawing/2014/main" id="{303739B2-434D-4B02-B80A-D02D2B08B68A}"/>
              </a:ext>
            </a:extLst>
          </xdr:cNvPr>
          <xdr:cNvSpPr txBox="1"/>
        </xdr:nvSpPr>
        <xdr:spPr>
          <a:xfrm>
            <a:off x="10005" y="560237"/>
            <a:ext cx="2666616" cy="2006255"/>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1" u="none" strike="noStrike" kern="0" cap="none" spc="0" normalizeH="0" baseline="0">
                <a:ln>
                  <a:noFill/>
                </a:ln>
                <a:effectLst/>
                <a:uLnTx/>
                <a:uFillTx/>
                <a:latin typeface="Calibri" panose="020F0502020204030204"/>
                <a:ea typeface="+mn-ea"/>
                <a:cs typeface="+mn-cs"/>
              </a:rPr>
              <a:t>Additional attributes not in scope for now</a:t>
            </a:r>
          </a:p>
        </xdr:txBody>
      </xdr:sp>
      <xdr:sp macro="" textlink="">
        <xdr:nvSpPr>
          <xdr:cNvPr id="7" name="Rectangle 6">
            <a:extLst>
              <a:ext uri="{FF2B5EF4-FFF2-40B4-BE49-F238E27FC236}">
                <a16:creationId xmlns:a16="http://schemas.microsoft.com/office/drawing/2014/main" id="{E3448811-4B75-43BB-A526-7468A9CFDBE7}"/>
              </a:ext>
            </a:extLst>
          </xdr:cNvPr>
          <xdr:cNvSpPr/>
        </xdr:nvSpPr>
        <xdr:spPr>
          <a:xfrm>
            <a:off x="1" y="318802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8" name="Rectangle 7">
            <a:extLst>
              <a:ext uri="{FF2B5EF4-FFF2-40B4-BE49-F238E27FC236}">
                <a16:creationId xmlns:a16="http://schemas.microsoft.com/office/drawing/2014/main" id="{32647B38-08A1-487E-80F1-CEA9F55A65B3}"/>
              </a:ext>
            </a:extLst>
          </xdr:cNvPr>
          <xdr:cNvSpPr/>
        </xdr:nvSpPr>
        <xdr:spPr>
          <a:xfrm>
            <a:off x="1" y="2653181"/>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Job</a:t>
            </a:r>
          </a:p>
        </xdr:txBody>
      </xdr:sp>
      <xdr:sp macro="" textlink="">
        <xdr:nvSpPr>
          <xdr:cNvPr id="9" name="TextBox 89">
            <a:extLst>
              <a:ext uri="{FF2B5EF4-FFF2-40B4-BE49-F238E27FC236}">
                <a16:creationId xmlns:a16="http://schemas.microsoft.com/office/drawing/2014/main" id="{06B87A13-0B4F-4D02-B698-0BF48CA2BD31}"/>
              </a:ext>
            </a:extLst>
          </xdr:cNvPr>
          <xdr:cNvSpPr txBox="1"/>
        </xdr:nvSpPr>
        <xdr:spPr>
          <a:xfrm>
            <a:off x="-2" y="3164994"/>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0" u="none" strike="noStrike" kern="1200" cap="none" spc="0" normalizeH="0" baseline="0">
                <a:ln>
                  <a:noFill/>
                </a:ln>
                <a:effectLst/>
                <a:uLnTx/>
                <a:uFillTx/>
                <a:latin typeface="Arial" panose="020B0604020202020204" pitchFamily="34" charset="0"/>
                <a:ea typeface="+mn-ea"/>
                <a:cs typeface="Arial" panose="020B0604020202020204" pitchFamily="34" charset="0"/>
              </a:rPr>
              <a:t>Job Name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sp macro="" textlink="">
        <xdr:nvSpPr>
          <xdr:cNvPr id="10" name="Rectangle 9">
            <a:extLst>
              <a:ext uri="{FF2B5EF4-FFF2-40B4-BE49-F238E27FC236}">
                <a16:creationId xmlns:a16="http://schemas.microsoft.com/office/drawing/2014/main" id="{D5331306-9DF5-4205-9FB9-CA3BB5EADB82}"/>
              </a:ext>
            </a:extLst>
          </xdr:cNvPr>
          <xdr:cNvSpPr/>
        </xdr:nvSpPr>
        <xdr:spPr>
          <a:xfrm>
            <a:off x="1" y="463415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1" name="Rectangle 10">
            <a:extLst>
              <a:ext uri="{FF2B5EF4-FFF2-40B4-BE49-F238E27FC236}">
                <a16:creationId xmlns:a16="http://schemas.microsoft.com/office/drawing/2014/main" id="{892ECE42-50DB-407E-8D99-12E02F6046E1}"/>
              </a:ext>
            </a:extLst>
          </xdr:cNvPr>
          <xdr:cNvSpPr/>
        </xdr:nvSpPr>
        <xdr:spPr>
          <a:xfrm>
            <a:off x="1" y="4099311"/>
            <a:ext cx="2666616" cy="534839"/>
          </a:xfrm>
          <a:prstGeom prst="rect">
            <a:avLst/>
          </a:prstGeom>
          <a:solidFill>
            <a:srgbClr val="FF8702"/>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Cost Centre</a:t>
            </a:r>
          </a:p>
        </xdr:txBody>
      </xdr:sp>
      <xdr:sp macro="" textlink="">
        <xdr:nvSpPr>
          <xdr:cNvPr id="12" name="TextBox 99">
            <a:extLst>
              <a:ext uri="{FF2B5EF4-FFF2-40B4-BE49-F238E27FC236}">
                <a16:creationId xmlns:a16="http://schemas.microsoft.com/office/drawing/2014/main" id="{027CC8FB-EDA9-468B-8191-28A42D95F4EC}"/>
              </a:ext>
            </a:extLst>
          </xdr:cNvPr>
          <xdr:cNvSpPr txBox="1"/>
        </xdr:nvSpPr>
        <xdr:spPr>
          <a:xfrm>
            <a:off x="0" y="4634151"/>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Cost Centre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grpSp>
        <xdr:nvGrpSpPr>
          <xdr:cNvPr id="13" name="Group 12">
            <a:extLst>
              <a:ext uri="{FF2B5EF4-FFF2-40B4-BE49-F238E27FC236}">
                <a16:creationId xmlns:a16="http://schemas.microsoft.com/office/drawing/2014/main" id="{6F28EBC5-5E3D-4922-889E-F6CBE1F09A15}"/>
              </a:ext>
            </a:extLst>
          </xdr:cNvPr>
          <xdr:cNvGrpSpPr/>
        </xdr:nvGrpSpPr>
        <xdr:grpSpPr>
          <a:xfrm>
            <a:off x="3085913" y="0"/>
            <a:ext cx="6652077" cy="5707376"/>
            <a:chOff x="3085913" y="0"/>
            <a:chExt cx="6652077" cy="5707376"/>
          </a:xfrm>
        </xdr:grpSpPr>
        <xdr:sp macro="" textlink="">
          <xdr:nvSpPr>
            <xdr:cNvPr id="14" name="Rectangle 13">
              <a:extLst>
                <a:ext uri="{FF2B5EF4-FFF2-40B4-BE49-F238E27FC236}">
                  <a16:creationId xmlns:a16="http://schemas.microsoft.com/office/drawing/2014/main" id="{E322179A-CF84-4339-9D4C-FCDCDFF5DBB4}"/>
                </a:ext>
              </a:extLst>
            </xdr:cNvPr>
            <xdr:cNvSpPr/>
          </xdr:nvSpPr>
          <xdr:spPr>
            <a:xfrm>
              <a:off x="3167142" y="1017439"/>
              <a:ext cx="2022333" cy="4538419"/>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5" name="Rectangle 14">
              <a:extLst>
                <a:ext uri="{FF2B5EF4-FFF2-40B4-BE49-F238E27FC236}">
                  <a16:creationId xmlns:a16="http://schemas.microsoft.com/office/drawing/2014/main" id="{21BB52D7-1F58-4E64-99BD-EFB066CB112B}"/>
                </a:ext>
              </a:extLst>
            </xdr:cNvPr>
            <xdr:cNvSpPr/>
          </xdr:nvSpPr>
          <xdr:spPr>
            <a:xfrm>
              <a:off x="3167141" y="472678"/>
              <a:ext cx="2022333" cy="544762"/>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lvl="0" algn="ctr" fontAlgn="auto">
                <a:spcBef>
                  <a:spcPts val="0"/>
                </a:spcBef>
                <a:spcAft>
                  <a:spcPts val="0"/>
                </a:spcAft>
                <a:defRPr/>
              </a:pPr>
              <a:r>
                <a:rPr lang="en-US" sz="1200" kern="0">
                  <a:solidFill>
                    <a:schemeClr val="tx1"/>
                  </a:solidFill>
                  <a:latin typeface="Calibri" panose="020F0502020204030204"/>
                </a:rPr>
                <a:t>Personnel managed by SSC, and local branch offices</a:t>
              </a:r>
              <a:endParaRPr kumimoji="0" lang="en-GB" sz="1200" b="0" i="0" u="none" strike="noStrike" kern="0" cap="none" spc="0" normalizeH="0" baseline="0">
                <a:ln>
                  <a:noFill/>
                </a:ln>
                <a:solidFill>
                  <a:schemeClr val="tx1"/>
                </a:solidFill>
                <a:effectLst/>
                <a:uLnTx/>
                <a:uFillTx/>
                <a:latin typeface="Calibri" panose="020F0502020204030204"/>
              </a:endParaRPr>
            </a:p>
          </xdr:txBody>
        </xdr:sp>
        <xdr:sp macro="" textlink="">
          <xdr:nvSpPr>
            <xdr:cNvPr id="16" name="TextBox 90">
              <a:extLst>
                <a:ext uri="{FF2B5EF4-FFF2-40B4-BE49-F238E27FC236}">
                  <a16:creationId xmlns:a16="http://schemas.microsoft.com/office/drawing/2014/main" id="{ACE48C23-0528-426F-BA49-BC5C4699D0DA}"/>
                </a:ext>
              </a:extLst>
            </xdr:cNvPr>
            <xdr:cNvSpPr txBox="1"/>
          </xdr:nvSpPr>
          <xdr:spPr>
            <a:xfrm>
              <a:off x="3170285" y="1017438"/>
              <a:ext cx="2022333" cy="4320606"/>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PO Advisor **</a:t>
              </a:r>
            </a:p>
          </xdr:txBody>
        </xdr:sp>
        <xdr:sp macro="" textlink="">
          <xdr:nvSpPr>
            <xdr:cNvPr id="17" name="Rectangle 16">
              <a:extLst>
                <a:ext uri="{FF2B5EF4-FFF2-40B4-BE49-F238E27FC236}">
                  <a16:creationId xmlns:a16="http://schemas.microsoft.com/office/drawing/2014/main" id="{6C330883-75DC-48D3-85F4-8EA8F771CFF4}"/>
                </a:ext>
              </a:extLst>
            </xdr:cNvPr>
            <xdr:cNvSpPr/>
          </xdr:nvSpPr>
          <xdr:spPr>
            <a:xfrm>
              <a:off x="5341994" y="1017440"/>
              <a:ext cx="2022329"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8" name="Rectangle 17">
              <a:extLst>
                <a:ext uri="{FF2B5EF4-FFF2-40B4-BE49-F238E27FC236}">
                  <a16:creationId xmlns:a16="http://schemas.microsoft.com/office/drawing/2014/main" id="{FB62D7B6-2B1B-42C9-B31A-63AE7FC523C8}"/>
                </a:ext>
              </a:extLst>
            </xdr:cNvPr>
            <xdr:cNvSpPr/>
          </xdr:nvSpPr>
          <xdr:spPr>
            <a:xfrm>
              <a:off x="5341994" y="472678"/>
              <a:ext cx="2022329" cy="544762"/>
            </a:xfrm>
            <a:prstGeom prst="rect">
              <a:avLst/>
            </a:prstGeom>
            <a:solidFill>
              <a:srgbClr val="4472C4"/>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SMD Fleet initiated</a:t>
              </a:r>
            </a:p>
          </xdr:txBody>
        </xdr:sp>
        <xdr:sp macro="" textlink="">
          <xdr:nvSpPr>
            <xdr:cNvPr id="19" name="TextBox 93">
              <a:extLst>
                <a:ext uri="{FF2B5EF4-FFF2-40B4-BE49-F238E27FC236}">
                  <a16:creationId xmlns:a16="http://schemas.microsoft.com/office/drawing/2014/main" id="{DEB786A8-91FE-4296-991B-D8E9B1D224B1}"/>
                </a:ext>
              </a:extLst>
            </xdr:cNvPr>
            <xdr:cNvSpPr txBox="1"/>
          </xdr:nvSpPr>
          <xdr:spPr>
            <a:xfrm>
              <a:off x="5351995" y="1017438"/>
              <a:ext cx="2022332"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PO Advisor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0" name="Rectangle 19">
              <a:extLst>
                <a:ext uri="{FF2B5EF4-FFF2-40B4-BE49-F238E27FC236}">
                  <a16:creationId xmlns:a16="http://schemas.microsoft.com/office/drawing/2014/main" id="{5EE68DD6-6272-428F-AAA3-640153BE4FE3}"/>
                </a:ext>
              </a:extLst>
            </xdr:cNvPr>
            <xdr:cNvSpPr/>
          </xdr:nvSpPr>
          <xdr:spPr>
            <a:xfrm>
              <a:off x="7516843" y="1017440"/>
              <a:ext cx="2106847"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1" name="Rectangle 20">
              <a:extLst>
                <a:ext uri="{FF2B5EF4-FFF2-40B4-BE49-F238E27FC236}">
                  <a16:creationId xmlns:a16="http://schemas.microsoft.com/office/drawing/2014/main" id="{6A5B9ECE-BF3A-4D34-8217-1AB551E6AAD3}"/>
                </a:ext>
              </a:extLst>
            </xdr:cNvPr>
            <xdr:cNvSpPr/>
          </xdr:nvSpPr>
          <xdr:spPr>
            <a:xfrm>
              <a:off x="7516842" y="472680"/>
              <a:ext cx="2106847" cy="544758"/>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Project Office initiated</a:t>
              </a:r>
            </a:p>
          </xdr:txBody>
        </xdr:sp>
        <xdr:sp macro="" textlink="">
          <xdr:nvSpPr>
            <xdr:cNvPr id="22" name="TextBox 96">
              <a:extLst>
                <a:ext uri="{FF2B5EF4-FFF2-40B4-BE49-F238E27FC236}">
                  <a16:creationId xmlns:a16="http://schemas.microsoft.com/office/drawing/2014/main" id="{33B21CB5-9490-4567-A4A0-4FF006F945C4}"/>
                </a:ext>
              </a:extLst>
            </xdr:cNvPr>
            <xdr:cNvSpPr txBox="1"/>
          </xdr:nvSpPr>
          <xdr:spPr>
            <a:xfrm>
              <a:off x="7536847" y="1017438"/>
              <a:ext cx="2106849"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Project Planner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3" name="Rectangle 22">
              <a:extLst>
                <a:ext uri="{FF2B5EF4-FFF2-40B4-BE49-F238E27FC236}">
                  <a16:creationId xmlns:a16="http://schemas.microsoft.com/office/drawing/2014/main" id="{5809B6DA-D005-459A-AD1F-694374CA04B9}"/>
                </a:ext>
              </a:extLst>
            </xdr:cNvPr>
            <xdr:cNvSpPr/>
          </xdr:nvSpPr>
          <xdr:spPr>
            <a:xfrm>
              <a:off x="3085913" y="0"/>
              <a:ext cx="6652077" cy="5670910"/>
            </a:xfrm>
            <a:prstGeom prst="rect">
              <a:avLst/>
            </a:prstGeom>
            <a:noFill/>
            <a:ln w="12700" cap="flat" cmpd="sng" algn="ctr">
              <a:solidFill>
                <a:sysClr val="windowText" lastClr="000000"/>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4" name="Rectangle 23">
              <a:extLst>
                <a:ext uri="{FF2B5EF4-FFF2-40B4-BE49-F238E27FC236}">
                  <a16:creationId xmlns:a16="http://schemas.microsoft.com/office/drawing/2014/main" id="{5940DBE4-65CD-4F3D-8C10-337858CC8D20}"/>
                </a:ext>
              </a:extLst>
            </xdr:cNvPr>
            <xdr:cNvSpPr/>
          </xdr:nvSpPr>
          <xdr:spPr>
            <a:xfrm>
              <a:off x="5034193" y="110787"/>
              <a:ext cx="2666616" cy="291931"/>
            </a:xfrm>
            <a:prstGeom prst="rect">
              <a:avLst/>
            </a:prstGeom>
            <a:no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Domain:</a:t>
              </a:r>
              <a:br>
                <a:rPr kumimoji="0" lang="en-GB" sz="1200" b="0"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&amp; Organization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204F57F-6D77-4496-A629-1CE75185E035}" name="Table81411" displayName="Table81411" ref="Q1:S57" totalsRowShown="0">
  <autoFilter ref="Q1:S57" xr:uid="{D1D9753E-C10A-4FEC-9647-300D18D13385}"/>
  <tableColumns count="3">
    <tableColumn id="1" xr3:uid="{F2C6DC51-2738-4EDD-92CF-8B737F6DCD8F}" name="Excel sheet in this file"/>
    <tableColumn id="2" xr3:uid="{78A07083-DC57-43BE-8728-35A9EC71C2FD}" name="Column Name" dataDxfId="136"/>
    <tableColumn id="3" xr3:uid="{1D3F1BAF-7981-459B-A83E-48A3D994ED77}" name="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65680E-E613-457C-BB23-FEC0DD03D24D}" name="Table2" displayName="Table2" ref="B1:F5" totalsRowShown="0" headerRowDxfId="135" dataDxfId="134">
  <autoFilter ref="B1:F5" xr:uid="{77BEF923-0E84-4319-BE80-D92CC25459A2}"/>
  <tableColumns count="5">
    <tableColumn id="5" xr3:uid="{11B3A1DB-AB66-4648-ABA4-E86BEF7B486B}" name="ID" dataDxfId="133"/>
    <tableColumn id="1" xr3:uid="{760C961A-6C0B-480E-920E-A1E5679B257B}" name="Domain name" dataDxfId="132"/>
    <tableColumn id="2" xr3:uid="{27621B33-D617-479E-A693-BCD9361C8766}" name="Domain Qualified Name" dataDxfId="131">
      <calculatedColumnFormula>SUBSTITUTE(SUBSTITUTE(SUBSTITUTE(SUBSTITUTE(LOWER(C2),"&amp;",""),"-",""),"  ","-")," ","-")</calculatedColumnFormula>
    </tableColumn>
    <tableColumn id="4" xr3:uid="{D22E4325-3A2F-4A79-AEFB-C0B20EDAF848}" name="Definition" dataDxfId="130"/>
    <tableColumn id="3" xr3:uid="{6B1423F3-5FC8-44DE-B0EB-9EFB4A75D370}" name="Data Domain Lead" dataDxfId="12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880463-BAAB-469E-A7F9-D8BB0AA85065}" name="Table1" displayName="Table1" ref="B1:P12" totalsRowShown="0" headerRowDxfId="128" dataDxfId="127">
  <autoFilter ref="B1:P12" xr:uid="{EED484E7-34B3-4E9F-9934-BE196F1ED2DB}"/>
  <tableColumns count="15">
    <tableColumn id="11" xr3:uid="{0858CF24-0FCF-45FB-B58A-0CE747D08160}" name="ID" dataDxfId="126"/>
    <tableColumn id="1" xr3:uid="{85E6BEAF-3210-4B73-950F-B9D78F6AFAE8}" name="Data Domain" dataDxfId="125"/>
    <tableColumn id="2" xr3:uid="{EE30D4C6-851B-453B-A9E6-837F21E6DF85}" name="Unique Domain Qualified Name" dataDxfId="124">
      <calculatedColumnFormula>Table1[[#This Row],[Data Domain]]</calculatedColumnFormula>
    </tableColumn>
    <tableColumn id="12" xr3:uid="{183D6FBB-32A3-42F1-9840-83420C4A79BA}" name="Entity Qualified Name" dataDxfId="123">
      <calculatedColumnFormula>IF(Table1[[#This Row],[Has Parent]]="Yes",Table1[[#This Row],[Unique Domain Qualified Name]]&amp;"--"&amp;Table1[[#This Row],[Parent entity Qualified Name3]]&amp;"--"&amp;Table1[[#This Row],[Child entity qualified name2]],Table1[[#This Row],[Unique Domain Qualified Name]]&amp;"--"&amp;Table1[[#This Row],[Child entity qualified name2]])</calculatedColumnFormula>
    </tableColumn>
    <tableColumn id="5" xr3:uid="{17D21751-1CFA-4273-AE5B-9CCCFA323CF9}" name="Entity name" dataDxfId="122"/>
    <tableColumn id="6" xr3:uid="{2DFDA551-602D-495F-8678-9FE7BDED5B93}" name="Child entity qualified name2" dataDxfId="121">
      <calculatedColumnFormula>SUBSTITUTE(SUBSTITUTE(SUBSTITUTE(SUBSTITUTE(LOWER(F2),"&amp;",""),"-",""),"  ","-")," ","-")</calculatedColumnFormula>
    </tableColumn>
    <tableColumn id="17" xr3:uid="{8FEFC1A8-7843-4217-A892-649BB56FBB4A}" name="Direct Relation to Domain" dataDxfId="120"/>
    <tableColumn id="10" xr3:uid="{D2D9F642-4ED1-4281-8616-60D1BF069657}" name="Has Parent" dataDxfId="119"/>
    <tableColumn id="3" xr3:uid="{02B9F114-1D27-485E-AE86-7F2F64709DC8}" name="Parent entity name" dataDxfId="118"/>
    <tableColumn id="13" xr3:uid="{09A54DC7-CCBB-4C8C-BA19-DCAEA474BB5A}" name="Parent entity Qualified name" dataDxfId="117"/>
    <tableColumn id="4" xr3:uid="{FCBF87D6-3A00-4E15-982F-A2967EECFC3F}" name="Parent entity Qualified Name2" dataDxfId="116"/>
    <tableColumn id="14" xr3:uid="{AC997321-D1E5-4442-B718-C7601434D9D3}" name="Parent entity Qualified Name3" dataDxfId="115"/>
    <tableColumn id="9" xr3:uid="{C856988D-56DC-4D2C-97C7-7D8F24466851}" name="Definition" dataDxfId="114"/>
    <tableColumn id="7" xr3:uid="{01C724AD-914C-4B66-8CCF-A0F51D14DFA2}" name="Business Data Owner" dataDxfId="113"/>
    <tableColumn id="8" xr3:uid="{1A160386-2E10-4338-9A72-0B2FCE78152B}" name="Business Data Steward" dataDxfId="1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202A9A-FC31-402C-8039-A3CB45209585}" name="Table3" displayName="Table3" ref="B1:O72" totalsRowShown="0" headerRowDxfId="111" dataDxfId="110">
  <autoFilter ref="B1:O72" xr:uid="{4FD5616A-5629-4D4B-B5AE-EC7B7D90F6E8}"/>
  <tableColumns count="14">
    <tableColumn id="11" xr3:uid="{60DACB35-3011-4473-AEE9-71110FB9802A}" name="ID" dataDxfId="109"/>
    <tableColumn id="1" xr3:uid="{1D98DB5D-84D0-4E71-8E73-F2356D1A44B5}" name="Entity Name" dataDxfId="108"/>
    <tableColumn id="7" xr3:uid="{6657B562-460F-4A49-894E-6BAEA117B0EE}" name="Unique entity qualified name" dataDxfId="107"/>
    <tableColumn id="2" xr3:uid="{91D47C4A-373E-412C-8163-3C197BB64EFB}" name="Attribute Name" dataDxfId="106"/>
    <tableColumn id="9" xr3:uid="{97153AB9-40F9-44AE-B4DF-C574201C2A71}" name="Clean attribute name" dataDxfId="105">
      <calculatedColumnFormula>IF(RIGHT(Table3[[#This Row],[Attribute Name]],1)=" ",LEFT(Table3[[#This Row],[Attribute Name]],(LEN(Table3[[#This Row],[Attribute Name]]))-1),Table3[[#This Row],[Attribute Name]])</calculatedColumnFormula>
    </tableColumn>
    <tableColumn id="8" xr3:uid="{F5971FDA-FA91-4836-8209-161A6094EB2F}" name="Data attribute qualified name" dataDxfId="104">
      <calculatedColumnFormula>SUBSTITUTE(SUBSTITUTE(SUBSTITUTE(SUBSTITUTE(LOWER(F2),"&amp;",""),"-",""),"  ","-")," ","-")</calculatedColumnFormula>
    </tableColumn>
    <tableColumn id="3" xr3:uid="{0BAA9EA4-C1C6-4870-AC8C-1E154B7B5B3F}" name="Attribute Qualified Name" dataDxfId="103">
      <calculatedColumnFormula>IF(Table3[[#This Row],[Unique entity qualified name]]&lt;&gt;"",Table3[[#This Row],[Unique entity qualified name]]&amp;"--"&amp;Table3[[#This Row],[Data attribute qualified name]],"")</calculatedColumnFormula>
    </tableColumn>
    <tableColumn id="6" xr3:uid="{C41136C5-1D75-41EB-8A6E-AEA645554009}" name="Definition" dataDxfId="102"/>
    <tableColumn id="13" xr3:uid="{18693B58-C502-4EE0-A78A-0545DEA8BDA6}" name="Data Type" dataDxfId="101"/>
    <tableColumn id="14" xr3:uid="{7352F136-E93F-4AA0-97A0-5B237E242CAC}" name="Has PII" dataDxfId="100"/>
    <tableColumn id="15" xr3:uid="{86809FFD-BE26-43E1-B093-5528DB1EB0FD}" name="Risk Classification" dataDxfId="99"/>
    <tableColumn id="16" xr3:uid="{D02BF6EA-D3C9-4A99-AACE-FAAC1BA752F7}" name="Is Key Data" dataDxfId="98"/>
    <tableColumn id="4" xr3:uid="{1B14660D-96AF-4F66-ADCF-113CCC9C2E7A}" name="Business Data Owner" dataDxfId="97"/>
    <tableColumn id="5" xr3:uid="{5DC0574A-383B-467C-ADDC-DBF272278B58}" name="Business Data Steward" dataDxfId="9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F057A0-C731-43A5-A2BD-E1CB782928DE}" name="Table4" displayName="Table4" ref="B1:Q136" totalsRowShown="0" headerRowDxfId="95" dataDxfId="94">
  <autoFilter ref="B1:Q136" xr:uid="{3FD2569B-B86D-4F39-9D9A-1B32B8579048}"/>
  <tableColumns count="16">
    <tableColumn id="1" xr3:uid="{DCE8DE63-589D-4A72-A9DC-8C3CB455985B}" name="ID" dataDxfId="93"/>
    <tableColumn id="2" xr3:uid="{DA5FDA8C-AAED-4EA1-9354-580D45B02E12}" name="Attribute Name" dataDxfId="92"/>
    <tableColumn id="8" xr3:uid="{3F58AFBE-20C9-44D8-BD12-D431B52C063D}" name="Attribute Qualified Name" dataDxfId="91"/>
    <tableColumn id="10" xr3:uid="{F0F75020-6A4E-442B-B3F4-8BC717D3CCA5}" name="System Name" dataDxfId="90"/>
    <tableColumn id="16" xr3:uid="{4D134E53-CC8E-4F44-9069-CC707D730046}" name="Intermediate Qualified System Name" dataDxfId="89">
      <calculatedColumnFormula>SUBSTITUTE(SUBSTITUTE(SUBSTITUTE(SUBSTITUTE(LOWER(E2),"&amp;",""),"-",""),"  ","-")," ","-")</calculatedColumnFormula>
    </tableColumn>
    <tableColumn id="11" xr3:uid="{AD5EDBEA-92D5-4400-85E0-DC18567154BB}" name="Collection Name" dataDxfId="88"/>
    <tableColumn id="17" xr3:uid="{307A19ED-7B7D-4CC3-81A2-0DB0C0259401}" name="Collection Intermediate Qualified Name" dataDxfId="87">
      <calculatedColumnFormula>SUBSTITUTE(SUBSTITUTE(SUBSTITUTE(SUBSTITUTE(LOWER(G2),"&amp;",""),"-",""),"  ","-")," ","-")</calculatedColumnFormula>
    </tableColumn>
    <tableColumn id="12" xr3:uid="{7A025681-A4D5-49D3-9D4E-844700F4DE7C}" name="Dataset Name" dataDxfId="86"/>
    <tableColumn id="15" xr3:uid="{17FE7430-7A57-439F-B835-DBD3774BBBA5}" name="Dataset Intermediate Qualified Name" dataDxfId="85">
      <calculatedColumnFormula>SUBSTITUTE(SUBSTITUTE(SUBSTITUTE(SUBSTITUTE(LOWER(I2),"&amp;",""),"-",""),"  ","-")," ","-")</calculatedColumnFormula>
    </tableColumn>
    <tableColumn id="18" xr3:uid="{065F3F72-77E9-4DF7-B13D-6652F4CDAD74}" name="Intermediate Physical Qualified Name" dataDxfId="84">
      <calculatedColumnFormula>Table4[[#This Row],[Intermediate Qualified System Name]]&amp;"--"&amp;Table4[[#This Row],[Collection Intermediate Qualified Name]]&amp;"--"&amp;Table4[[#This Row],[Dataset Intermediate Qualified Name]]</calculatedColumnFormula>
    </tableColumn>
    <tableColumn id="3" xr3:uid="{2901DB0C-798C-4DF3-A91E-767535B7776C}" name="Field Name" dataDxfId="83"/>
    <tableColumn id="4" xr3:uid="{3DE52DAB-9E4A-4B37-B4C4-0E209109477B}" name="Field Intermediate Qualified Name" dataDxfId="82">
      <calculatedColumnFormula>SUBSTITUTE(SUBSTITUTE(SUBSTITUTE(LOWER(L2),"&amp;",""),"  ","-")," ","-")</calculatedColumnFormula>
    </tableColumn>
    <tableColumn id="9" xr3:uid="{C09004C5-86A3-44FC-9B9B-70D8B886462E}" name="Field Qualified Name" dataDxfId="81">
      <calculatedColumnFormula>Table4[[#This Row],[Intermediate Qualified System Name]]&amp;"--"&amp;Table4[[#This Row],[Collection Intermediate Qualified Name]]&amp;"--"&amp;Table4[[#This Row],[Dataset Intermediate Qualified Name]]&amp;"--"&amp;Table4[[#This Row],[Field Intermediate Qualified Name]]</calculatedColumnFormula>
    </tableColumn>
    <tableColumn id="5" xr3:uid="{4A746A7E-B290-485D-A032-319E4189A269}" name="Definition" dataDxfId="80"/>
    <tableColumn id="6" xr3:uid="{2D644923-E13B-4D2A-946C-EEA3E8666761}" name="Field Type" dataDxfId="79"/>
    <tableColumn id="7" xr3:uid="{2F03FB66-57EB-4755-A1AD-376DC649A239}" name="Has Content Structure"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89B1B0-968F-4127-AF12-4EB168DFB250}" name="Table11" displayName="Table11" ref="A1:G1048576" totalsRowShown="0">
  <autoFilter ref="A1:G1048576" xr:uid="{DEA24130-03A4-441B-BECC-B4D6F267B067}"/>
  <tableColumns count="7">
    <tableColumn id="10" xr3:uid="{4702F292-97D3-4082-A388-DABD60DC6959}" name="ID"/>
    <tableColumn id="1" xr3:uid="{4F2EB632-819E-4311-9A49-6F35060A0296}" name="Field Qualified Name"/>
    <tableColumn id="5" xr3:uid="{E7D171A2-E705-4086-A91A-1F90E4795A3E}" name="Filter ID"/>
    <tableColumn id="6" xr3:uid="{14256360-EB1C-4631-BF68-E1F0D3B689D2}" name="Content Structure Name" dataDxfId="77"/>
    <tableColumn id="7" xr3:uid="{DE113785-4557-42B2-8780-421E9C7203A5}" name="Content Structure Intermediate Qualified Name" dataDxfId="76"/>
    <tableColumn id="9" xr3:uid="{E201A700-B080-440A-B5D9-1FC966ED3247}" name="Content Structure Qualified Name" dataDxfId="75"/>
    <tableColumn id="8" xr3:uid="{B11984BD-3440-4437-B510-62465461DE4E}" name="Defin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031C99-3747-4153-AA9F-22969EB8AB8E}" name="Table5" displayName="Table5" ref="B1:D27" totalsRowShown="0">
  <autoFilter ref="B1:D27" xr:uid="{C0F86691-63C3-4C8A-9E46-BA50F5B1AD97}"/>
  <tableColumns count="3">
    <tableColumn id="1" xr3:uid="{C2E4E630-BB9D-4057-84A8-99109B0ED733}" name="System"/>
    <tableColumn id="2" xr3:uid="{41AF1246-C0F7-4DEC-9CBC-94D58378C172}" name="Data Collection"/>
    <tableColumn id="3" xr3:uid="{6E868F50-C07B-41C8-935B-170A2598D43C}" name="Datase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13D758-C033-4130-BC9C-0B027D35E57F}" name="Table6" displayName="Table6" ref="B1:K1048576" totalsRowShown="0" headerRowDxfId="74" dataDxfId="73">
  <autoFilter ref="B1:K1048576" xr:uid="{81BB038A-2A5A-4912-80CF-7DF61FC69F03}"/>
  <sortState xmlns:xlrd2="http://schemas.microsoft.com/office/spreadsheetml/2017/richdata2" ref="B2:K2">
    <sortCondition ref="C1:C2"/>
  </sortState>
  <tableColumns count="10">
    <tableColumn id="1" xr3:uid="{BA920A0C-4399-4BF6-B845-FA09E101EEA6}" name="ID" dataDxfId="72"/>
    <tableColumn id="2" xr3:uid="{E90D218E-B0AC-4349-89DC-68883D6C9EA8}" name="Field Qualified Name" dataDxfId="71"/>
    <tableColumn id="11" xr3:uid="{35B4DE99-3E5C-4872-AE10-9BBE5722CAB7}" name="Content structure Qualified Name" dataDxfId="70"/>
    <tableColumn id="3" xr3:uid="{FF1A9833-2798-4617-A70D-6F9F768CD3D7}" name="Business Rule Description" dataDxfId="69"/>
    <tableColumn id="4" xr3:uid="{27CA0BA4-9049-4416-A2F1-31C3B17F79BB}" name="Data Quality Rule Description" dataDxfId="68"/>
    <tableColumn id="5" xr3:uid="{EB0679D3-8326-44DE-AD02-DFFC24C88A94}" name="Data Quality Dimension" dataDxfId="67"/>
    <tableColumn id="6" xr3:uid="{6264F35F-794D-446F-85E7-1FA6B1B0BE38}" name="Filter Required" dataDxfId="66"/>
    <tableColumn id="7" xr3:uid="{1085C6F2-5292-4DF8-B870-EC74F70CCE8D}" name="Expression" dataDxfId="65"/>
    <tableColumn id="8" xr3:uid="{0DA8B5D2-A884-4C62-BAE6-A35B32158CA7}" name="Active" dataDxfId="64"/>
    <tableColumn id="9" xr3:uid="{4F453B51-9556-4F2A-BD60-1BB6D37DCA90}" name="Expression_version" dataDxfId="6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64F302-6D7B-4385-BEFE-4178F5F5E52E}" name="Table12" displayName="Table12" ref="B1:D11" totalsRowShown="0" headerRowDxfId="62" headerRowBorderDxfId="61" tableBorderDxfId="60">
  <autoFilter ref="B1:D11" xr:uid="{26C23952-D3C1-49F0-87B6-F7342773BECF}"/>
  <tableColumns count="3">
    <tableColumn id="1" xr3:uid="{AAD91E70-5D77-48A2-9725-7E7A280444D2}" name="ID"/>
    <tableColumn id="2" xr3:uid="{B3F72BCF-D50A-4264-88AC-917784043B61}" name="Person Name"/>
    <tableColumn id="3" xr3:uid="{73C9704F-7EB3-4700-BC40-63A4EC2A599C}" name="Email addres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737102A-96A9-42D4-9A63-7F0E0891B011}" name="Table7" displayName="Table7" ref="E1:F5" totalsRowShown="0" headerRowDxfId="59" dataDxfId="57" headerRowBorderDxfId="58" tableBorderDxfId="56" totalsRowBorderDxfId="55">
  <autoFilter ref="E1:F5" xr:uid="{752363C7-2EC9-470A-9559-60CDB7C240AF}"/>
  <tableColumns count="2">
    <tableColumn id="1" xr3:uid="{D133640A-5906-4F27-8F8B-5AB3957479B7}" name="ID" dataDxfId="54"/>
    <tableColumn id="2" xr3:uid="{D2773445-0A83-41BA-8AB3-EB9CA1C45C10}" name="Deleted Entity Qualified Name" dataDxfId="5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3C6E076-56B4-45EF-AEFA-EFCCA916C4D4}" name="Table710" displayName="Table710" ref="H1:I80" totalsRowShown="0" headerRowDxfId="52" dataDxfId="50" headerRowBorderDxfId="51" tableBorderDxfId="49" totalsRowBorderDxfId="48">
  <autoFilter ref="H1:I80" xr:uid="{7FA359C4-807B-4A1A-8B53-AE46F1442FEC}"/>
  <tableColumns count="2">
    <tableColumn id="1" xr3:uid="{1EE3C6CF-8C2E-4887-B766-5628C7607A30}" name="ID" dataDxfId="47"/>
    <tableColumn id="2" xr3:uid="{FCD338D9-64A0-4CC1-ACFC-34D8E3F2D8A0}" name="Deleted Attribute Qualified Name" dataDxfId="4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4BA9D6-6DC0-4700-84AE-A9334D422479}" name="Table8" displayName="Table8" ref="K1:L63" totalsRowShown="0">
  <autoFilter ref="K1:L63" xr:uid="{0D100CE3-BAD1-4187-BE50-4FD3454898E9}"/>
  <tableColumns count="2">
    <tableColumn id="1" xr3:uid="{FCC8725C-AE2A-4526-AA32-6E67B7778019}" name="ID"/>
    <tableColumn id="2" xr3:uid="{0FD9BD15-ED5C-4166-B845-C3CD5F16B00C}" name="Deleted Field Attribute Qualified Na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CAF7B78-28CB-4C74-9053-AA355C121200}" name="Table714" displayName="Table714" ref="B1:C3" totalsRowShown="0" headerRowDxfId="45" dataDxfId="43" headerRowBorderDxfId="44" tableBorderDxfId="42" totalsRowBorderDxfId="41">
  <autoFilter ref="B1:C3" xr:uid="{C772EA87-744E-4307-8C33-A4BE0CA7E26E}"/>
  <tableColumns count="2">
    <tableColumn id="1" xr3:uid="{71366FF7-0231-46DF-9CE6-3DEF2F7C5932}" name="ID" dataDxfId="40"/>
    <tableColumn id="2" xr3:uid="{048DCCC1-C5D4-473E-A01E-5A19CDA79A60}" name="Deleted Domain Qualified Name" dataDxfId="3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70528F9-EFF0-4B1D-AAB2-37CEE8432E50}" name="Table14" displayName="Table14" ref="B2:C34" totalsRowShown="0" headerRowDxfId="38" dataDxfId="36" headerRowBorderDxfId="37" tableBorderDxfId="35" totalsRowBorderDxfId="34">
  <autoFilter ref="B2:C34" xr:uid="{6F515D25-4287-4766-85EB-AD9C7FD511F6}"/>
  <tableColumns count="2">
    <tableColumn id="2" xr3:uid="{3D58ECEF-AA5F-44E3-8C20-CBD2305AB89A}" name="Field Name" dataDxfId="33"/>
    <tableColumn id="3" xr3:uid="{CABF50FE-AAD8-4782-AE2B-13A6E3624388}" name="Description" dataDxfId="3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FE5DA9D-D25C-4840-BDA6-F51DDE570003}" name="Table416" displayName="Table416" ref="B1:Q11" totalsRowShown="0" headerRowDxfId="31" dataDxfId="30">
  <autoFilter ref="B1:Q11" xr:uid="{3FD2569B-B86D-4F39-9D9A-1B32B8579048}"/>
  <tableColumns count="16">
    <tableColumn id="1" xr3:uid="{99D1C1CB-E2E3-4F72-AE2A-2144340F74B6}" name="ID" dataDxfId="29"/>
    <tableColumn id="12" xr3:uid="{3ADB90E6-05FE-4CF3-A3C3-9D8EF1407698}" name="System Name" dataDxfId="28"/>
    <tableColumn id="15" xr3:uid="{46C5256F-6F32-4FA5-8E69-DF68B99576B2}" name="System Intermediate Qualified Name" dataDxfId="27"/>
    <tableColumn id="3" xr3:uid="{90F3A15F-7723-46CF-A0BC-350B268E22A1}" name="Process Name" dataDxfId="26"/>
    <tableColumn id="4" xr3:uid="{E218143E-BADD-490A-BD56-A2F242773E82}" name="Process Intermediate Qualified Name" dataDxfId="25"/>
    <tableColumn id="9" xr3:uid="{C4C15665-7D6B-4259-ADCE-F197E7ADBDF5}" name="Process Qualified Name" dataDxfId="24"/>
    <tableColumn id="7" xr3:uid="{7C79DAA1-8BBD-4709-B1AE-259B2F2395B7}" name="Input 1" dataDxfId="23"/>
    <tableColumn id="2" xr3:uid="{6C5E1454-3124-4D96-A515-73AFC8E7AF56}" name="Input 2" dataDxfId="22"/>
    <tableColumn id="8" xr3:uid="{6F7D5848-77F9-4BB2-B207-0496BC7F7CC1}" name="Input 3" dataDxfId="21"/>
    <tableColumn id="10" xr3:uid="{41A50F8E-C292-48D2-B848-ABB423C1A3B5}" name="Input 4" dataDxfId="20"/>
    <tableColumn id="11" xr3:uid="{EC76F145-0CFB-435E-AE28-10ED08641D05}" name="Output 1" dataDxfId="19"/>
    <tableColumn id="13" xr3:uid="{572BEF9F-68B4-4F41-AAEF-7E0600A6EC5B}" name="Output 2" dataDxfId="18"/>
    <tableColumn id="14" xr3:uid="{A2EB5E12-7DFB-4AF6-ABF6-64DE0F2A7E38}" name="Output 3" dataDxfId="17"/>
    <tableColumn id="16" xr3:uid="{5F99CBCA-1847-4D81-B463-7F93A148DC61}" name="Output 4" dataDxfId="16"/>
    <tableColumn id="5" xr3:uid="{98CD4928-14BC-4E57-AE64-3FBFBD717C26}" name="Definition" dataDxfId="15"/>
    <tableColumn id="6" xr3:uid="{665B41F5-B935-4995-BAF6-9D08386EE179}" name="Process Owner"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EE45A-ADD7-445D-8EAF-F2E91A1C20DE}">
  <sheetPr codeName="Sheet1"/>
  <dimension ref="A1:N31"/>
  <sheetViews>
    <sheetView zoomScale="80" zoomScaleNormal="80" workbookViewId="0">
      <selection activeCell="C15" sqref="C15:L15"/>
    </sheetView>
  </sheetViews>
  <sheetFormatPr defaultRowHeight="14.4" x14ac:dyDescent="0.3"/>
  <sheetData>
    <row r="1" spans="1:14" x14ac:dyDescent="0.3">
      <c r="A1" s="6"/>
      <c r="B1" s="6"/>
      <c r="C1" s="6"/>
      <c r="D1" s="6"/>
      <c r="E1" s="6"/>
      <c r="F1" s="6"/>
      <c r="G1" s="6"/>
      <c r="H1" s="6"/>
      <c r="I1" s="6"/>
      <c r="J1" s="6"/>
      <c r="K1" s="6"/>
      <c r="L1" s="6"/>
      <c r="M1" s="6"/>
      <c r="N1" s="6"/>
    </row>
    <row r="2" spans="1:14" x14ac:dyDescent="0.3">
      <c r="A2" s="6"/>
      <c r="B2" s="6"/>
      <c r="C2" s="6"/>
      <c r="D2" s="6"/>
      <c r="E2" s="6"/>
      <c r="F2" s="6"/>
      <c r="G2" s="6"/>
      <c r="H2" s="6"/>
      <c r="I2" s="6"/>
      <c r="J2" s="6"/>
      <c r="K2" s="6"/>
      <c r="L2" s="6"/>
      <c r="M2" s="6"/>
      <c r="N2" s="6"/>
    </row>
    <row r="3" spans="1:14" x14ac:dyDescent="0.3">
      <c r="A3" s="6"/>
      <c r="B3" s="3"/>
      <c r="C3" s="4"/>
      <c r="D3" s="4"/>
      <c r="E3" s="4"/>
      <c r="F3" s="4"/>
      <c r="G3" s="4"/>
      <c r="H3" s="4"/>
      <c r="I3" s="4"/>
      <c r="J3" s="4"/>
      <c r="K3" s="4"/>
      <c r="L3" s="4"/>
      <c r="M3" s="5"/>
      <c r="N3" s="6"/>
    </row>
    <row r="4" spans="1:14" x14ac:dyDescent="0.3">
      <c r="A4" s="6"/>
      <c r="B4" s="37"/>
      <c r="C4" s="6"/>
      <c r="D4" s="6"/>
      <c r="E4" s="6"/>
      <c r="F4" s="6"/>
      <c r="G4" s="6"/>
      <c r="H4" s="6"/>
      <c r="I4" s="6"/>
      <c r="J4" s="6"/>
      <c r="K4" s="6"/>
      <c r="L4" s="6"/>
      <c r="M4" s="7"/>
      <c r="N4" s="6"/>
    </row>
    <row r="5" spans="1:14" x14ac:dyDescent="0.3">
      <c r="A5" s="6"/>
      <c r="B5" s="8"/>
      <c r="C5" s="6"/>
      <c r="D5" s="6"/>
      <c r="E5" s="6"/>
      <c r="F5" s="6"/>
      <c r="G5" s="6"/>
      <c r="H5" s="6"/>
      <c r="I5" s="6"/>
      <c r="J5" s="6"/>
      <c r="K5" s="6"/>
      <c r="L5" s="6"/>
      <c r="M5" s="7"/>
      <c r="N5" s="6"/>
    </row>
    <row r="6" spans="1:14" x14ac:dyDescent="0.3">
      <c r="A6" s="6"/>
      <c r="B6" s="8"/>
      <c r="C6" s="6"/>
      <c r="D6" s="6"/>
      <c r="E6" s="6"/>
      <c r="F6" s="6"/>
      <c r="G6" s="6"/>
      <c r="H6" s="6"/>
      <c r="I6" s="6"/>
      <c r="J6" s="6"/>
      <c r="K6" s="6"/>
      <c r="L6" s="6"/>
      <c r="M6" s="7"/>
      <c r="N6" s="6"/>
    </row>
    <row r="7" spans="1:14" x14ac:dyDescent="0.3">
      <c r="A7" s="6"/>
      <c r="B7" s="8"/>
      <c r="C7" s="6"/>
      <c r="D7" s="6"/>
      <c r="E7" s="6"/>
      <c r="F7" s="6"/>
      <c r="G7" s="6"/>
      <c r="H7" s="6"/>
      <c r="I7" s="6"/>
      <c r="J7" s="6"/>
      <c r="K7" s="6"/>
      <c r="L7" s="6"/>
      <c r="M7" s="7"/>
      <c r="N7" s="6"/>
    </row>
    <row r="8" spans="1:14" x14ac:dyDescent="0.3">
      <c r="A8" s="6"/>
      <c r="B8" s="8"/>
      <c r="C8" s="6"/>
      <c r="D8" s="6"/>
      <c r="E8" s="6"/>
      <c r="F8" s="6"/>
      <c r="G8" s="6"/>
      <c r="H8" s="6"/>
      <c r="I8" s="6"/>
      <c r="J8" s="6"/>
      <c r="K8" s="6"/>
      <c r="L8" s="6"/>
      <c r="M8" s="7"/>
      <c r="N8" s="6"/>
    </row>
    <row r="9" spans="1:14" x14ac:dyDescent="0.3">
      <c r="A9" s="6"/>
      <c r="B9" s="8"/>
      <c r="C9" s="6"/>
      <c r="D9" s="6"/>
      <c r="E9" s="6"/>
      <c r="F9" s="6"/>
      <c r="G9" s="6"/>
      <c r="H9" s="6"/>
      <c r="I9" s="6"/>
      <c r="J9" s="6"/>
      <c r="K9" s="6"/>
      <c r="L9" s="6"/>
      <c r="M9" s="7"/>
      <c r="N9" s="6"/>
    </row>
    <row r="10" spans="1:14" ht="15" thickBot="1" x14ac:dyDescent="0.35">
      <c r="A10" s="6"/>
      <c r="B10" s="8"/>
      <c r="C10" s="6"/>
      <c r="D10" s="6"/>
      <c r="E10" s="6"/>
      <c r="F10" s="6"/>
      <c r="G10" s="6"/>
      <c r="H10" s="6"/>
      <c r="I10" s="6"/>
      <c r="J10" s="6"/>
      <c r="K10" s="6"/>
      <c r="L10" s="6"/>
      <c r="M10" s="7"/>
      <c r="N10" s="6"/>
    </row>
    <row r="11" spans="1:14" ht="58.2" x14ac:dyDescent="0.85">
      <c r="A11" s="6"/>
      <c r="B11" s="8"/>
      <c r="C11" s="122" t="s">
        <v>0</v>
      </c>
      <c r="D11" s="123"/>
      <c r="E11" s="123"/>
      <c r="F11" s="123"/>
      <c r="G11" s="123"/>
      <c r="H11" s="123"/>
      <c r="I11" s="123"/>
      <c r="J11" s="123"/>
      <c r="K11" s="123"/>
      <c r="L11" s="124"/>
      <c r="M11" s="7"/>
      <c r="N11" s="6"/>
    </row>
    <row r="12" spans="1:14" x14ac:dyDescent="0.3">
      <c r="A12" s="6"/>
      <c r="B12" s="8"/>
      <c r="C12" s="38"/>
      <c r="D12" s="6"/>
      <c r="E12" s="6"/>
      <c r="F12" s="6"/>
      <c r="G12" s="6"/>
      <c r="H12" s="6"/>
      <c r="I12" s="6"/>
      <c r="J12" s="6"/>
      <c r="K12" s="6"/>
      <c r="L12" s="39"/>
      <c r="M12" s="7"/>
      <c r="N12" s="6"/>
    </row>
    <row r="13" spans="1:14" x14ac:dyDescent="0.3">
      <c r="A13" s="6"/>
      <c r="B13" s="8"/>
      <c r="C13" s="38"/>
      <c r="D13" s="6"/>
      <c r="E13" s="6"/>
      <c r="F13" s="6"/>
      <c r="G13" s="6"/>
      <c r="H13" s="6"/>
      <c r="I13" s="6"/>
      <c r="J13" s="6"/>
      <c r="K13" s="6"/>
      <c r="L13" s="39"/>
      <c r="M13" s="7"/>
      <c r="N13" s="6"/>
    </row>
    <row r="14" spans="1:14" ht="35.4" x14ac:dyDescent="0.6">
      <c r="A14" s="6"/>
      <c r="B14" s="8"/>
      <c r="C14" s="125"/>
      <c r="D14" s="126"/>
      <c r="E14" s="126"/>
      <c r="F14" s="126"/>
      <c r="G14" s="126"/>
      <c r="H14" s="126"/>
      <c r="I14" s="126"/>
      <c r="J14" s="126"/>
      <c r="K14" s="126"/>
      <c r="L14" s="127"/>
      <c r="M14" s="7"/>
      <c r="N14" s="6"/>
    </row>
    <row r="15" spans="1:14" ht="31.8" x14ac:dyDescent="0.5">
      <c r="A15" s="6"/>
      <c r="B15" s="8"/>
      <c r="C15" s="128"/>
      <c r="D15" s="129"/>
      <c r="E15" s="129"/>
      <c r="F15" s="129"/>
      <c r="G15" s="129"/>
      <c r="H15" s="129"/>
      <c r="I15" s="129"/>
      <c r="J15" s="129"/>
      <c r="K15" s="129"/>
      <c r="L15" s="130"/>
      <c r="M15" s="7"/>
      <c r="N15" s="6"/>
    </row>
    <row r="16" spans="1:14" ht="15" thickBot="1" x14ac:dyDescent="0.35">
      <c r="A16" s="6"/>
      <c r="B16" s="8"/>
      <c r="C16" s="40"/>
      <c r="D16" s="41"/>
      <c r="E16" s="41"/>
      <c r="F16" s="41"/>
      <c r="G16" s="41"/>
      <c r="H16" s="41"/>
      <c r="I16" s="41"/>
      <c r="J16" s="41"/>
      <c r="K16" s="41"/>
      <c r="L16" s="42"/>
      <c r="M16" s="7"/>
      <c r="N16" s="6"/>
    </row>
    <row r="17" spans="1:14" x14ac:dyDescent="0.3">
      <c r="A17" s="6"/>
      <c r="B17" s="8"/>
      <c r="C17" s="6"/>
      <c r="D17" s="6"/>
      <c r="E17" s="6"/>
      <c r="F17" s="6"/>
      <c r="G17" s="6"/>
      <c r="H17" s="6"/>
      <c r="I17" s="6"/>
      <c r="J17" s="6"/>
      <c r="K17" s="6"/>
      <c r="L17" s="6"/>
      <c r="M17" s="7"/>
      <c r="N17" s="6"/>
    </row>
    <row r="18" spans="1:14" x14ac:dyDescent="0.3">
      <c r="A18" s="6"/>
      <c r="B18" s="8"/>
      <c r="C18" s="6"/>
      <c r="D18" s="6"/>
      <c r="E18" s="6"/>
      <c r="F18" s="6"/>
      <c r="G18" s="6"/>
      <c r="H18" s="6"/>
      <c r="I18" s="6"/>
      <c r="J18" s="6"/>
      <c r="K18" s="6"/>
      <c r="L18" s="6"/>
      <c r="M18" s="7"/>
      <c r="N18" s="6"/>
    </row>
    <row r="19" spans="1:14" x14ac:dyDescent="0.3">
      <c r="A19" s="6"/>
      <c r="B19" s="8"/>
      <c r="C19" s="6"/>
      <c r="D19" s="6"/>
      <c r="E19" s="6"/>
      <c r="F19" s="6"/>
      <c r="G19" s="6"/>
      <c r="H19" s="6"/>
      <c r="I19" s="6"/>
      <c r="J19" s="6"/>
      <c r="K19" s="6"/>
      <c r="L19" s="6"/>
      <c r="M19" s="7"/>
      <c r="N19" s="6"/>
    </row>
    <row r="20" spans="1:14" x14ac:dyDescent="0.3">
      <c r="A20" s="6"/>
      <c r="B20" s="8"/>
      <c r="C20" s="6"/>
      <c r="D20" s="6"/>
      <c r="E20" s="6"/>
      <c r="F20" s="6"/>
      <c r="G20" s="6"/>
      <c r="H20" s="6"/>
      <c r="I20" s="6"/>
      <c r="J20" s="6"/>
      <c r="K20" s="6"/>
      <c r="L20" s="6"/>
      <c r="M20" s="7"/>
      <c r="N20" s="6"/>
    </row>
    <row r="21" spans="1:14" x14ac:dyDescent="0.3">
      <c r="A21" s="6"/>
      <c r="B21" s="8"/>
      <c r="C21" s="6"/>
      <c r="D21" s="6"/>
      <c r="E21" s="6"/>
      <c r="F21" s="6"/>
      <c r="G21" s="6"/>
      <c r="H21" s="6"/>
      <c r="I21" s="6"/>
      <c r="J21" s="6"/>
      <c r="K21" s="6"/>
      <c r="L21" s="6"/>
      <c r="M21" s="7"/>
      <c r="N21" s="6"/>
    </row>
    <row r="22" spans="1:14" x14ac:dyDescent="0.3">
      <c r="A22" s="6"/>
      <c r="B22" s="8"/>
      <c r="C22" s="6"/>
      <c r="D22" s="6"/>
      <c r="E22" s="6"/>
      <c r="F22" s="6"/>
      <c r="G22" s="6"/>
      <c r="H22" s="6"/>
      <c r="I22" s="6"/>
      <c r="J22" s="6"/>
      <c r="K22" s="6"/>
      <c r="L22" s="6"/>
      <c r="M22" s="7"/>
      <c r="N22" s="6"/>
    </row>
    <row r="23" spans="1:14" x14ac:dyDescent="0.3">
      <c r="A23" s="6"/>
      <c r="B23" s="8"/>
      <c r="C23" s="6"/>
      <c r="D23" s="6"/>
      <c r="E23" s="6"/>
      <c r="F23" s="6"/>
      <c r="G23" s="6"/>
      <c r="H23" s="6"/>
      <c r="I23" s="6"/>
      <c r="J23" s="6"/>
      <c r="K23" s="6"/>
      <c r="L23" s="6"/>
      <c r="M23" s="7"/>
      <c r="N23" s="6"/>
    </row>
    <row r="24" spans="1:14" x14ac:dyDescent="0.3">
      <c r="A24" s="6"/>
      <c r="B24" s="8"/>
      <c r="C24" s="6"/>
      <c r="D24" s="6"/>
      <c r="E24" s="6"/>
      <c r="F24" s="6"/>
      <c r="G24" s="6"/>
      <c r="H24" s="6"/>
      <c r="I24" s="6"/>
      <c r="J24" s="6"/>
      <c r="K24" s="6"/>
      <c r="L24" s="6"/>
      <c r="M24" s="7"/>
      <c r="N24" s="6"/>
    </row>
    <row r="25" spans="1:14" x14ac:dyDescent="0.3">
      <c r="A25" s="6"/>
      <c r="B25" s="8"/>
      <c r="C25" s="6"/>
      <c r="D25" s="6"/>
      <c r="E25" s="6"/>
      <c r="F25" s="6"/>
      <c r="G25" s="6"/>
      <c r="H25" s="6"/>
      <c r="I25" s="6"/>
      <c r="J25" s="6"/>
      <c r="K25" s="6"/>
      <c r="L25" s="6"/>
      <c r="M25" s="7"/>
      <c r="N25" s="6"/>
    </row>
    <row r="26" spans="1:14" x14ac:dyDescent="0.3">
      <c r="A26" s="6"/>
      <c r="B26" s="8"/>
      <c r="C26" s="6"/>
      <c r="D26" s="6"/>
      <c r="E26" s="6"/>
      <c r="F26" s="6"/>
      <c r="G26" s="6"/>
      <c r="H26" s="6"/>
      <c r="I26" s="6"/>
      <c r="J26" s="6"/>
      <c r="K26" s="6"/>
      <c r="L26" s="6"/>
      <c r="M26" s="7"/>
      <c r="N26" s="6"/>
    </row>
    <row r="27" spans="1:14" x14ac:dyDescent="0.3">
      <c r="A27" s="6"/>
      <c r="B27" s="8"/>
      <c r="C27" s="6"/>
      <c r="D27" s="6"/>
      <c r="E27" s="6"/>
      <c r="F27" s="6"/>
      <c r="G27" s="6"/>
      <c r="H27" s="6"/>
      <c r="I27" s="6"/>
      <c r="J27" s="6"/>
      <c r="K27" s="6"/>
      <c r="L27" s="6"/>
      <c r="M27" s="7"/>
      <c r="N27" s="6"/>
    </row>
    <row r="28" spans="1:14" x14ac:dyDescent="0.3">
      <c r="A28" s="6"/>
      <c r="B28" s="8"/>
      <c r="C28" s="6"/>
      <c r="D28" s="6"/>
      <c r="E28" s="6"/>
      <c r="F28" s="6"/>
      <c r="G28" s="6"/>
      <c r="H28" s="6"/>
      <c r="I28" s="6"/>
      <c r="J28" s="6"/>
      <c r="K28" s="6"/>
      <c r="L28" s="6"/>
      <c r="M28" s="7"/>
      <c r="N28" s="6"/>
    </row>
    <row r="29" spans="1:14" x14ac:dyDescent="0.3">
      <c r="A29" s="6"/>
      <c r="B29" s="8"/>
      <c r="C29" s="43" t="s">
        <v>1</v>
      </c>
      <c r="D29" s="6"/>
      <c r="E29" s="6"/>
      <c r="F29" s="6"/>
      <c r="G29" s="6"/>
      <c r="H29" s="6"/>
      <c r="I29" s="6"/>
      <c r="J29" s="6"/>
      <c r="K29" s="6"/>
      <c r="L29" s="6"/>
      <c r="M29" s="7"/>
      <c r="N29" s="6"/>
    </row>
    <row r="30" spans="1:14" x14ac:dyDescent="0.3">
      <c r="A30" s="6"/>
      <c r="B30" s="9"/>
      <c r="C30" s="10"/>
      <c r="D30" s="10"/>
      <c r="E30" s="10"/>
      <c r="F30" s="10"/>
      <c r="G30" s="10"/>
      <c r="H30" s="10"/>
      <c r="I30" s="10"/>
      <c r="J30" s="10"/>
      <c r="K30" s="10"/>
      <c r="L30" s="10"/>
      <c r="M30" s="11"/>
      <c r="N30" s="6"/>
    </row>
    <row r="31" spans="1:14" x14ac:dyDescent="0.3">
      <c r="A31" s="6"/>
      <c r="B31" s="6"/>
      <c r="C31" s="6"/>
      <c r="D31" s="6"/>
      <c r="E31" s="6"/>
      <c r="F31" s="6"/>
      <c r="G31" s="6"/>
      <c r="H31" s="6"/>
      <c r="I31" s="6"/>
      <c r="J31" s="6"/>
      <c r="K31" s="6"/>
      <c r="L31" s="6"/>
      <c r="M31" s="6"/>
      <c r="N31" s="6"/>
    </row>
  </sheetData>
  <mergeCells count="3">
    <mergeCell ref="C11:L11"/>
    <mergeCell ref="C14:L14"/>
    <mergeCell ref="C15:L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48B95-B9C3-49E8-ADC8-35DA6C221484}">
  <sheetPr codeName="Sheet2"/>
  <dimension ref="A1:N26"/>
  <sheetViews>
    <sheetView topLeftCell="A3" zoomScale="70" zoomScaleNormal="70" workbookViewId="0">
      <selection activeCell="H8" sqref="H8:L8"/>
    </sheetView>
  </sheetViews>
  <sheetFormatPr defaultRowHeight="14.4" x14ac:dyDescent="0.3"/>
  <cols>
    <col min="4" max="4" width="12.6640625" bestFit="1" customWidth="1"/>
  </cols>
  <sheetData>
    <row r="1" spans="1:14" x14ac:dyDescent="0.3">
      <c r="A1" s="44"/>
      <c r="B1" s="44"/>
      <c r="C1" s="44"/>
      <c r="D1" s="44"/>
      <c r="E1" s="44"/>
      <c r="F1" s="44"/>
      <c r="G1" s="44"/>
      <c r="H1" s="44"/>
      <c r="I1" s="44"/>
      <c r="J1" s="44"/>
      <c r="K1" s="44"/>
      <c r="L1" s="44"/>
      <c r="M1" s="44"/>
      <c r="N1" s="44"/>
    </row>
    <row r="2" spans="1:14" x14ac:dyDescent="0.3">
      <c r="A2" s="44"/>
      <c r="B2" s="44"/>
      <c r="C2" s="44"/>
      <c r="D2" s="44"/>
      <c r="E2" s="44"/>
      <c r="F2" s="44"/>
      <c r="G2" s="44"/>
      <c r="H2" s="44"/>
      <c r="I2" s="44"/>
      <c r="J2" s="44"/>
      <c r="K2" s="44"/>
      <c r="L2" s="44"/>
      <c r="M2" s="44"/>
      <c r="N2" s="44"/>
    </row>
    <row r="3" spans="1:14" x14ac:dyDescent="0.3">
      <c r="A3" s="44"/>
      <c r="B3" s="45"/>
      <c r="C3" s="46"/>
      <c r="D3" s="46"/>
      <c r="E3" s="46"/>
      <c r="F3" s="46"/>
      <c r="G3" s="46"/>
      <c r="H3" s="46"/>
      <c r="I3" s="46"/>
      <c r="J3" s="46"/>
      <c r="K3" s="46"/>
      <c r="L3" s="46"/>
      <c r="M3" s="47"/>
      <c r="N3" s="44"/>
    </row>
    <row r="4" spans="1:14" ht="31.8" x14ac:dyDescent="0.5">
      <c r="A4" s="44"/>
      <c r="B4" s="48"/>
      <c r="C4" s="49" t="s">
        <v>2</v>
      </c>
      <c r="D4" s="44"/>
      <c r="E4" s="44"/>
      <c r="F4" s="44"/>
      <c r="G4" s="44"/>
      <c r="H4" s="44"/>
      <c r="I4" s="44"/>
      <c r="J4" s="44"/>
      <c r="K4" s="44"/>
      <c r="L4" s="44"/>
      <c r="M4" s="50"/>
      <c r="N4" s="44"/>
    </row>
    <row r="5" spans="1:14" x14ac:dyDescent="0.3">
      <c r="A5" s="44"/>
      <c r="B5" s="48"/>
      <c r="C5" s="44"/>
      <c r="D5" s="44"/>
      <c r="E5" s="44"/>
      <c r="F5" s="44"/>
      <c r="G5" s="44"/>
      <c r="H5" s="44"/>
      <c r="I5" s="44"/>
      <c r="J5" s="44"/>
      <c r="K5" s="44"/>
      <c r="L5" s="44"/>
      <c r="M5" s="50"/>
      <c r="N5" s="44"/>
    </row>
    <row r="6" spans="1:14" x14ac:dyDescent="0.3">
      <c r="A6" s="44"/>
      <c r="B6" s="48"/>
      <c r="C6" s="44"/>
      <c r="D6" s="44"/>
      <c r="E6" s="44"/>
      <c r="F6" s="44"/>
      <c r="G6" s="44"/>
      <c r="H6" s="44"/>
      <c r="I6" s="44"/>
      <c r="J6" s="44"/>
      <c r="K6" s="44"/>
      <c r="L6" s="44"/>
      <c r="M6" s="50"/>
      <c r="N6" s="44"/>
    </row>
    <row r="7" spans="1:14" ht="17.399999999999999" x14ac:dyDescent="0.3">
      <c r="A7" s="44"/>
      <c r="B7" s="48"/>
      <c r="C7" s="51" t="s">
        <v>3</v>
      </c>
      <c r="D7" s="52" t="s">
        <v>4</v>
      </c>
      <c r="E7" s="142" t="s">
        <v>5</v>
      </c>
      <c r="F7" s="142"/>
      <c r="G7" s="142"/>
      <c r="H7" s="142" t="s">
        <v>6</v>
      </c>
      <c r="I7" s="142"/>
      <c r="J7" s="142"/>
      <c r="K7" s="142"/>
      <c r="L7" s="143"/>
      <c r="M7" s="50"/>
      <c r="N7" s="44"/>
    </row>
    <row r="8" spans="1:14" ht="26.7" customHeight="1" x14ac:dyDescent="0.3">
      <c r="A8" s="44"/>
      <c r="B8" s="48"/>
      <c r="C8" s="53" t="s">
        <v>7</v>
      </c>
      <c r="D8" s="60">
        <v>45588</v>
      </c>
      <c r="E8" s="144" t="s">
        <v>8</v>
      </c>
      <c r="F8" s="144"/>
      <c r="G8" s="144"/>
      <c r="H8" s="140" t="s">
        <v>9</v>
      </c>
      <c r="I8" s="140"/>
      <c r="J8" s="140"/>
      <c r="K8" s="140"/>
      <c r="L8" s="141"/>
      <c r="M8" s="50"/>
      <c r="N8" s="44"/>
    </row>
    <row r="9" spans="1:14" ht="89.7" customHeight="1" x14ac:dyDescent="0.3">
      <c r="A9" s="44"/>
      <c r="B9" s="48"/>
      <c r="C9" s="53"/>
      <c r="D9" s="60"/>
      <c r="E9" s="138"/>
      <c r="F9" s="138"/>
      <c r="G9" s="138"/>
      <c r="H9" s="133"/>
      <c r="I9" s="133"/>
      <c r="J9" s="133"/>
      <c r="K9" s="133"/>
      <c r="L9" s="134"/>
      <c r="M9" s="50"/>
      <c r="N9" s="44"/>
    </row>
    <row r="10" spans="1:14" ht="57.6" customHeight="1" x14ac:dyDescent="0.3">
      <c r="A10" s="44"/>
      <c r="B10" s="48"/>
      <c r="C10" s="53"/>
      <c r="D10" s="60"/>
      <c r="E10" s="132"/>
      <c r="F10" s="132"/>
      <c r="G10" s="132"/>
      <c r="H10" s="133"/>
      <c r="I10" s="133"/>
      <c r="J10" s="133"/>
      <c r="K10" s="133"/>
      <c r="L10" s="134"/>
      <c r="M10" s="50"/>
      <c r="N10" s="44"/>
    </row>
    <row r="11" spans="1:14" ht="87.6" customHeight="1" x14ac:dyDescent="0.3">
      <c r="A11" s="44"/>
      <c r="B11" s="48"/>
      <c r="C11" s="53"/>
      <c r="D11" s="60"/>
      <c r="E11" s="132"/>
      <c r="F11" s="132"/>
      <c r="G11" s="132"/>
      <c r="H11" s="133"/>
      <c r="I11" s="133"/>
      <c r="J11" s="133"/>
      <c r="K11" s="133"/>
      <c r="L11" s="134"/>
      <c r="M11" s="50"/>
      <c r="N11" s="44"/>
    </row>
    <row r="12" spans="1:14" ht="90.6" customHeight="1" x14ac:dyDescent="0.3">
      <c r="A12" s="44"/>
      <c r="B12" s="48"/>
      <c r="C12" s="53"/>
      <c r="D12" s="60"/>
      <c r="E12" s="138"/>
      <c r="F12" s="138"/>
      <c r="G12" s="138"/>
      <c r="H12" s="140"/>
      <c r="I12" s="140"/>
      <c r="J12" s="140"/>
      <c r="K12" s="140"/>
      <c r="L12" s="141"/>
      <c r="M12" s="50"/>
      <c r="N12" s="44"/>
    </row>
    <row r="13" spans="1:14" ht="53.7" customHeight="1" x14ac:dyDescent="0.3">
      <c r="A13" s="44"/>
      <c r="B13" s="48"/>
      <c r="C13" s="53"/>
      <c r="D13" s="60"/>
      <c r="E13" s="138"/>
      <c r="F13" s="138"/>
      <c r="G13" s="138"/>
      <c r="H13" s="133"/>
      <c r="I13" s="133"/>
      <c r="J13" s="133"/>
      <c r="K13" s="133"/>
      <c r="L13" s="134"/>
      <c r="M13" s="50"/>
      <c r="N13" s="44"/>
    </row>
    <row r="14" spans="1:14" ht="55.5" customHeight="1" x14ac:dyDescent="0.3">
      <c r="A14" s="44"/>
      <c r="B14" s="48"/>
      <c r="C14" s="53"/>
      <c r="D14" s="60"/>
      <c r="E14" s="139"/>
      <c r="F14" s="139"/>
      <c r="G14" s="139"/>
      <c r="H14" s="133"/>
      <c r="I14" s="133"/>
      <c r="J14" s="133"/>
      <c r="K14" s="133"/>
      <c r="L14" s="134"/>
      <c r="M14" s="50"/>
      <c r="N14" s="44"/>
    </row>
    <row r="15" spans="1:14" ht="46.5" customHeight="1" x14ac:dyDescent="0.3">
      <c r="A15" s="44"/>
      <c r="B15" s="48"/>
      <c r="C15" s="53"/>
      <c r="D15" s="60"/>
      <c r="E15" s="132"/>
      <c r="F15" s="132"/>
      <c r="G15" s="132"/>
      <c r="H15" s="133"/>
      <c r="I15" s="133"/>
      <c r="J15" s="133"/>
      <c r="K15" s="133"/>
      <c r="L15" s="134"/>
      <c r="M15" s="50"/>
      <c r="N15" s="44"/>
    </row>
    <row r="16" spans="1:14" ht="102.6" customHeight="1" x14ac:dyDescent="0.3">
      <c r="A16" s="54" t="s">
        <v>10</v>
      </c>
      <c r="B16" s="48"/>
      <c r="C16" s="53"/>
      <c r="D16" s="60"/>
      <c r="E16" s="132"/>
      <c r="F16" s="132"/>
      <c r="G16" s="132"/>
      <c r="H16" s="133"/>
      <c r="I16" s="133"/>
      <c r="J16" s="133"/>
      <c r="K16" s="133"/>
      <c r="L16" s="134"/>
      <c r="M16" s="50"/>
      <c r="N16" s="44"/>
    </row>
    <row r="17" spans="1:14" ht="45.6" customHeight="1" x14ac:dyDescent="0.3">
      <c r="A17" s="44"/>
      <c r="B17" s="48"/>
      <c r="C17" s="53"/>
      <c r="D17" s="60"/>
      <c r="E17" s="132"/>
      <c r="F17" s="132"/>
      <c r="G17" s="132"/>
      <c r="H17" s="133"/>
      <c r="I17" s="133"/>
      <c r="J17" s="133"/>
      <c r="K17" s="133"/>
      <c r="L17" s="134"/>
      <c r="M17" s="50"/>
      <c r="N17" s="44"/>
    </row>
    <row r="18" spans="1:14" ht="116.7" customHeight="1" x14ac:dyDescent="0.3">
      <c r="A18" s="44"/>
      <c r="B18" s="48"/>
      <c r="C18" s="53"/>
      <c r="D18" s="60"/>
      <c r="E18" s="132"/>
      <c r="F18" s="132"/>
      <c r="G18" s="132"/>
      <c r="H18" s="133"/>
      <c r="I18" s="133"/>
      <c r="J18" s="133"/>
      <c r="K18" s="133"/>
      <c r="L18" s="134"/>
      <c r="M18" s="50"/>
      <c r="N18" s="44"/>
    </row>
    <row r="19" spans="1:14" ht="66.599999999999994" customHeight="1" x14ac:dyDescent="0.3">
      <c r="A19" s="44"/>
      <c r="B19" s="48"/>
      <c r="C19" s="53"/>
      <c r="D19" s="60"/>
      <c r="E19" s="132"/>
      <c r="F19" s="132"/>
      <c r="G19" s="132"/>
      <c r="H19" s="132"/>
      <c r="I19" s="133"/>
      <c r="J19" s="133"/>
      <c r="K19" s="133"/>
      <c r="L19" s="134"/>
      <c r="M19" s="50"/>
      <c r="N19" s="44"/>
    </row>
    <row r="20" spans="1:14" ht="55.5" customHeight="1" x14ac:dyDescent="0.3">
      <c r="A20" s="44"/>
      <c r="B20" s="48"/>
      <c r="C20" s="53"/>
      <c r="D20" s="60"/>
      <c r="E20" s="132"/>
      <c r="F20" s="132"/>
      <c r="G20" s="132"/>
      <c r="H20" s="133"/>
      <c r="I20" s="133"/>
      <c r="J20" s="133"/>
      <c r="K20" s="133"/>
      <c r="L20" s="134"/>
      <c r="M20" s="50"/>
      <c r="N20" s="44"/>
    </row>
    <row r="21" spans="1:14" ht="51" customHeight="1" x14ac:dyDescent="0.3">
      <c r="A21" s="44"/>
      <c r="B21" s="48"/>
      <c r="C21" s="55"/>
      <c r="D21" s="56"/>
      <c r="E21" s="135"/>
      <c r="F21" s="135"/>
      <c r="G21" s="135"/>
      <c r="H21" s="136"/>
      <c r="I21" s="136"/>
      <c r="J21" s="136"/>
      <c r="K21" s="136"/>
      <c r="L21" s="137"/>
      <c r="M21" s="50"/>
      <c r="N21" s="44"/>
    </row>
    <row r="22" spans="1:14" x14ac:dyDescent="0.3">
      <c r="A22" s="44"/>
      <c r="B22" s="48"/>
      <c r="C22" s="64"/>
      <c r="D22" s="64"/>
      <c r="E22" s="131"/>
      <c r="F22" s="131"/>
      <c r="G22" s="131"/>
      <c r="H22" s="131"/>
      <c r="I22" s="131"/>
      <c r="J22" s="131"/>
      <c r="K22" s="131"/>
      <c r="L22" s="131"/>
      <c r="M22" s="50"/>
      <c r="N22" s="44"/>
    </row>
    <row r="23" spans="1:14" x14ac:dyDescent="0.3">
      <c r="A23" s="44"/>
      <c r="B23" s="48"/>
      <c r="C23" s="64"/>
      <c r="D23" s="64"/>
      <c r="E23" s="131"/>
      <c r="F23" s="131"/>
      <c r="G23" s="131"/>
      <c r="H23" s="131"/>
      <c r="I23" s="131"/>
      <c r="J23" s="131"/>
      <c r="K23" s="131"/>
      <c r="L23" s="131"/>
      <c r="M23" s="50"/>
      <c r="N23" s="44"/>
    </row>
    <row r="24" spans="1:14" x14ac:dyDescent="0.3">
      <c r="A24" s="44"/>
      <c r="B24" s="57"/>
      <c r="C24" s="58"/>
      <c r="D24" s="58"/>
      <c r="E24" s="58"/>
      <c r="F24" s="58"/>
      <c r="G24" s="58"/>
      <c r="H24" s="58"/>
      <c r="I24" s="58"/>
      <c r="J24" s="58"/>
      <c r="K24" s="58"/>
      <c r="L24" s="58"/>
      <c r="M24" s="59"/>
      <c r="N24" s="44"/>
    </row>
    <row r="25" spans="1:14" x14ac:dyDescent="0.3">
      <c r="A25" s="44"/>
      <c r="B25" s="44"/>
      <c r="C25" s="44"/>
      <c r="D25" s="44"/>
      <c r="E25" s="44"/>
      <c r="F25" s="44"/>
      <c r="G25" s="44"/>
      <c r="H25" s="44"/>
      <c r="I25" s="44"/>
      <c r="J25" s="44"/>
      <c r="K25" s="44"/>
      <c r="L25" s="44"/>
      <c r="M25" s="44"/>
      <c r="N25" s="44"/>
    </row>
    <row r="26" spans="1:14" x14ac:dyDescent="0.3">
      <c r="A26" s="44"/>
      <c r="B26" s="44"/>
      <c r="C26" s="44"/>
      <c r="D26" s="44"/>
      <c r="E26" s="44"/>
      <c r="F26" s="44"/>
      <c r="G26" s="44"/>
      <c r="H26" s="44"/>
      <c r="I26" s="44"/>
      <c r="J26" s="44"/>
      <c r="K26" s="44"/>
      <c r="L26" s="44"/>
      <c r="M26" s="44"/>
      <c r="N26" s="44"/>
    </row>
  </sheetData>
  <mergeCells count="34">
    <mergeCell ref="E7:G7"/>
    <mergeCell ref="H7:L7"/>
    <mergeCell ref="E8:G8"/>
    <mergeCell ref="H8:L8"/>
    <mergeCell ref="E9:G9"/>
    <mergeCell ref="H9:L9"/>
    <mergeCell ref="E10:G10"/>
    <mergeCell ref="H10:L10"/>
    <mergeCell ref="E11:G11"/>
    <mergeCell ref="H11:L11"/>
    <mergeCell ref="E12:G12"/>
    <mergeCell ref="H12:L12"/>
    <mergeCell ref="E13:G13"/>
    <mergeCell ref="H13:L13"/>
    <mergeCell ref="E14:G14"/>
    <mergeCell ref="H14:L14"/>
    <mergeCell ref="E15:G15"/>
    <mergeCell ref="H15:L15"/>
    <mergeCell ref="E16:G16"/>
    <mergeCell ref="H16:L16"/>
    <mergeCell ref="E17:G17"/>
    <mergeCell ref="H17:L17"/>
    <mergeCell ref="E18:G18"/>
    <mergeCell ref="H18:L18"/>
    <mergeCell ref="E23:G23"/>
    <mergeCell ref="H23:L23"/>
    <mergeCell ref="E19:G19"/>
    <mergeCell ref="H19:L19"/>
    <mergeCell ref="E20:G20"/>
    <mergeCell ref="H20:L20"/>
    <mergeCell ref="E22:G22"/>
    <mergeCell ref="H22:L22"/>
    <mergeCell ref="E21:G21"/>
    <mergeCell ref="H21:L2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1D3A9-718F-4A05-B90D-CEBC06A45180}">
  <sheetPr codeName="Sheet3"/>
  <dimension ref="B1:S57"/>
  <sheetViews>
    <sheetView topLeftCell="A14" zoomScale="54" zoomScaleNormal="30" workbookViewId="0">
      <selection activeCell="L16" sqref="L16"/>
    </sheetView>
  </sheetViews>
  <sheetFormatPr defaultColWidth="9.33203125" defaultRowHeight="14.4" x14ac:dyDescent="0.3"/>
  <cols>
    <col min="1" max="3" width="9.33203125" style="6"/>
    <col min="4" max="4" width="44.6640625" style="6" customWidth="1"/>
    <col min="5" max="11" width="9.33203125" style="6"/>
    <col min="12" max="12" width="39" style="6" customWidth="1"/>
    <col min="13" max="16" width="9.33203125" style="6"/>
    <col min="17" max="17" width="33.5546875" bestFit="1" customWidth="1"/>
    <col min="18" max="18" width="39.44140625" bestFit="1" customWidth="1"/>
    <col min="19" max="19" width="255.5546875" bestFit="1" customWidth="1"/>
    <col min="20" max="16384" width="9.33203125" style="6"/>
  </cols>
  <sheetData>
    <row r="1" spans="2:19" x14ac:dyDescent="0.3">
      <c r="B1" s="3"/>
      <c r="C1" s="4"/>
      <c r="D1" s="4"/>
      <c r="E1" s="4"/>
      <c r="F1" s="4"/>
      <c r="G1" s="4"/>
      <c r="H1" s="4"/>
      <c r="I1" s="4"/>
      <c r="J1" s="4"/>
      <c r="K1" s="4"/>
      <c r="L1" s="4"/>
      <c r="M1" s="4"/>
      <c r="N1" s="4"/>
      <c r="O1" s="5"/>
      <c r="Q1" t="s">
        <v>11</v>
      </c>
      <c r="R1" t="s">
        <v>12</v>
      </c>
      <c r="S1" t="s">
        <v>13</v>
      </c>
    </row>
    <row r="2" spans="2:19" x14ac:dyDescent="0.3">
      <c r="B2" s="8"/>
      <c r="O2" s="7"/>
      <c r="Q2" t="s">
        <v>14</v>
      </c>
      <c r="R2" s="20" t="s">
        <v>15</v>
      </c>
      <c r="S2" t="s">
        <v>16</v>
      </c>
    </row>
    <row r="3" spans="2:19" ht="34.799999999999997" x14ac:dyDescent="0.55000000000000004">
      <c r="B3" s="8"/>
      <c r="C3" s="12" t="s">
        <v>17</v>
      </c>
      <c r="D3" s="13"/>
      <c r="E3" s="13"/>
      <c r="O3" s="7"/>
      <c r="Q3" t="s">
        <v>14</v>
      </c>
      <c r="R3" s="20" t="s">
        <v>18</v>
      </c>
      <c r="S3" t="s">
        <v>19</v>
      </c>
    </row>
    <row r="4" spans="2:19" x14ac:dyDescent="0.3">
      <c r="B4" s="8"/>
      <c r="O4" s="7"/>
      <c r="Q4" t="s">
        <v>14</v>
      </c>
      <c r="R4" s="20" t="s">
        <v>20</v>
      </c>
      <c r="S4" t="s">
        <v>21</v>
      </c>
    </row>
    <row r="5" spans="2:19" ht="14.7" customHeight="1" x14ac:dyDescent="0.3">
      <c r="B5" s="8"/>
      <c r="C5" s="145" t="s">
        <v>22</v>
      </c>
      <c r="D5" s="145"/>
      <c r="E5" s="145"/>
      <c r="F5" s="145"/>
      <c r="G5" s="145"/>
      <c r="H5" s="145"/>
      <c r="I5" s="145"/>
      <c r="J5" s="145"/>
      <c r="K5" s="145"/>
      <c r="L5" s="145"/>
      <c r="O5" s="7"/>
      <c r="Q5" t="s">
        <v>14</v>
      </c>
      <c r="R5" s="20" t="s">
        <v>23</v>
      </c>
      <c r="S5" t="s">
        <v>24</v>
      </c>
    </row>
    <row r="6" spans="2:19" x14ac:dyDescent="0.3">
      <c r="B6" s="8"/>
      <c r="C6" s="145"/>
      <c r="D6" s="145"/>
      <c r="E6" s="145"/>
      <c r="F6" s="145"/>
      <c r="G6" s="145"/>
      <c r="H6" s="145"/>
      <c r="I6" s="145"/>
      <c r="J6" s="145"/>
      <c r="K6" s="145"/>
      <c r="L6" s="145"/>
      <c r="O6" s="7"/>
      <c r="Q6" t="s">
        <v>14</v>
      </c>
      <c r="R6" s="20" t="s">
        <v>25</v>
      </c>
      <c r="S6" t="s">
        <v>26</v>
      </c>
    </row>
    <row r="7" spans="2:19" x14ac:dyDescent="0.3">
      <c r="B7" s="8"/>
      <c r="C7" s="145"/>
      <c r="D7" s="145"/>
      <c r="E7" s="145"/>
      <c r="F7" s="145"/>
      <c r="G7" s="145"/>
      <c r="H7" s="145"/>
      <c r="I7" s="145"/>
      <c r="J7" s="145"/>
      <c r="K7" s="145"/>
      <c r="L7" s="145"/>
      <c r="O7" s="7"/>
      <c r="Q7" t="s">
        <v>27</v>
      </c>
      <c r="R7" s="21" t="s">
        <v>15</v>
      </c>
      <c r="S7" t="s">
        <v>28</v>
      </c>
    </row>
    <row r="8" spans="2:19" x14ac:dyDescent="0.3">
      <c r="B8" s="8"/>
      <c r="C8" s="145"/>
      <c r="D8" s="145"/>
      <c r="E8" s="145"/>
      <c r="F8" s="145"/>
      <c r="G8" s="145"/>
      <c r="H8" s="145"/>
      <c r="I8" s="145"/>
      <c r="J8" s="145"/>
      <c r="K8" s="145"/>
      <c r="L8" s="145"/>
      <c r="O8" s="7"/>
      <c r="Q8" t="s">
        <v>27</v>
      </c>
      <c r="R8" s="21" t="s">
        <v>29</v>
      </c>
      <c r="S8" t="s">
        <v>30</v>
      </c>
    </row>
    <row r="9" spans="2:19" ht="15" customHeight="1" x14ac:dyDescent="0.3">
      <c r="B9" s="8"/>
      <c r="C9" s="145"/>
      <c r="D9" s="145"/>
      <c r="E9" s="145"/>
      <c r="F9" s="145"/>
      <c r="G9" s="145"/>
      <c r="H9" s="145"/>
      <c r="I9" s="145"/>
      <c r="J9" s="145"/>
      <c r="K9" s="145"/>
      <c r="L9" s="145"/>
      <c r="O9" s="7"/>
      <c r="Q9" t="s">
        <v>27</v>
      </c>
      <c r="R9" s="21" t="s">
        <v>31</v>
      </c>
      <c r="S9" t="s">
        <v>32</v>
      </c>
    </row>
    <row r="10" spans="2:19" ht="17.7" customHeight="1" x14ac:dyDescent="0.3">
      <c r="B10" s="8"/>
      <c r="C10" s="145"/>
      <c r="D10" s="145"/>
      <c r="E10" s="145"/>
      <c r="F10" s="145"/>
      <c r="G10" s="145"/>
      <c r="H10" s="145"/>
      <c r="I10" s="145"/>
      <c r="J10" s="145"/>
      <c r="K10" s="145"/>
      <c r="L10" s="145"/>
      <c r="O10" s="7"/>
      <c r="Q10" t="s">
        <v>27</v>
      </c>
      <c r="R10" s="61" t="s">
        <v>33</v>
      </c>
      <c r="S10" t="s">
        <v>34</v>
      </c>
    </row>
    <row r="11" spans="2:19" ht="28.8" x14ac:dyDescent="0.3">
      <c r="B11" s="8"/>
      <c r="C11" s="145"/>
      <c r="D11" s="145"/>
      <c r="E11" s="145"/>
      <c r="F11" s="145"/>
      <c r="G11" s="145"/>
      <c r="H11" s="145"/>
      <c r="I11" s="145"/>
      <c r="J11" s="145"/>
      <c r="K11" s="145"/>
      <c r="L11" s="145"/>
      <c r="O11" s="7"/>
      <c r="Q11" t="s">
        <v>27</v>
      </c>
      <c r="R11" s="21" t="s">
        <v>35</v>
      </c>
      <c r="S11" s="63" t="s">
        <v>36</v>
      </c>
    </row>
    <row r="12" spans="2:19" ht="25.2" customHeight="1" x14ac:dyDescent="0.3">
      <c r="B12" s="8"/>
      <c r="C12" s="146"/>
      <c r="D12" s="15"/>
      <c r="E12" s="62"/>
      <c r="O12" s="7"/>
      <c r="Q12" t="s">
        <v>27</v>
      </c>
      <c r="R12" s="21" t="s">
        <v>37</v>
      </c>
      <c r="S12" t="s">
        <v>38</v>
      </c>
    </row>
    <row r="13" spans="2:19" ht="25.2" customHeight="1" x14ac:dyDescent="0.3">
      <c r="B13" s="8"/>
      <c r="C13" s="146"/>
      <c r="D13" s="15"/>
      <c r="E13" s="62"/>
      <c r="O13" s="7"/>
      <c r="Q13" t="s">
        <v>27</v>
      </c>
      <c r="R13" s="21" t="s">
        <v>39</v>
      </c>
      <c r="S13" t="s">
        <v>40</v>
      </c>
    </row>
    <row r="14" spans="2:19" ht="25.2" customHeight="1" x14ac:dyDescent="0.3">
      <c r="B14" s="8"/>
      <c r="C14" s="146"/>
      <c r="D14" s="15"/>
      <c r="E14" s="62"/>
      <c r="O14" s="7"/>
      <c r="Q14" t="s">
        <v>27</v>
      </c>
      <c r="R14" s="21" t="s">
        <v>23</v>
      </c>
      <c r="S14" t="s">
        <v>41</v>
      </c>
    </row>
    <row r="15" spans="2:19" ht="25.2" customHeight="1" x14ac:dyDescent="0.3">
      <c r="B15" s="8"/>
      <c r="C15" s="146"/>
      <c r="D15" s="15"/>
      <c r="E15" s="62"/>
      <c r="O15" s="7"/>
      <c r="Q15" t="s">
        <v>27</v>
      </c>
      <c r="R15" s="21" t="s">
        <v>42</v>
      </c>
      <c r="S15" t="s">
        <v>43</v>
      </c>
    </row>
    <row r="16" spans="2:19" ht="25.2" customHeight="1" x14ac:dyDescent="0.3">
      <c r="B16" s="8"/>
      <c r="C16" s="146"/>
      <c r="D16" s="15"/>
      <c r="E16" s="62"/>
      <c r="O16" s="7"/>
      <c r="Q16" t="s">
        <v>27</v>
      </c>
      <c r="R16" s="21" t="s">
        <v>44</v>
      </c>
      <c r="S16" t="s">
        <v>45</v>
      </c>
    </row>
    <row r="17" spans="2:19" ht="25.2" customHeight="1" x14ac:dyDescent="0.3">
      <c r="B17" s="8"/>
      <c r="C17" s="146"/>
      <c r="D17" s="15"/>
      <c r="E17" s="62"/>
      <c r="O17" s="7"/>
      <c r="Q17" t="s">
        <v>46</v>
      </c>
      <c r="R17" s="22" t="s">
        <v>15</v>
      </c>
      <c r="S17" t="s">
        <v>47</v>
      </c>
    </row>
    <row r="18" spans="2:19" ht="25.2" customHeight="1" x14ac:dyDescent="0.3">
      <c r="B18" s="8"/>
      <c r="C18" s="146"/>
      <c r="D18" s="15"/>
      <c r="E18" s="62"/>
      <c r="O18" s="7"/>
      <c r="Q18" t="s">
        <v>46</v>
      </c>
      <c r="R18" s="22" t="s">
        <v>48</v>
      </c>
      <c r="S18" t="s">
        <v>49</v>
      </c>
    </row>
    <row r="19" spans="2:19" ht="25.2" customHeight="1" x14ac:dyDescent="0.3">
      <c r="B19" s="8"/>
      <c r="C19" s="146"/>
      <c r="D19" s="15"/>
      <c r="E19" s="62"/>
      <c r="O19" s="7"/>
      <c r="Q19" t="s">
        <v>46</v>
      </c>
      <c r="R19" s="22" t="s">
        <v>50</v>
      </c>
      <c r="S19" t="s">
        <v>51</v>
      </c>
    </row>
    <row r="20" spans="2:19" ht="25.2" customHeight="1" x14ac:dyDescent="0.3">
      <c r="B20" s="8"/>
      <c r="C20" s="146"/>
      <c r="D20" s="15"/>
      <c r="E20" s="62"/>
      <c r="O20" s="7"/>
      <c r="Q20" t="s">
        <v>46</v>
      </c>
      <c r="R20" s="22" t="s">
        <v>52</v>
      </c>
      <c r="S20" t="s">
        <v>53</v>
      </c>
    </row>
    <row r="21" spans="2:19" ht="25.2" customHeight="1" x14ac:dyDescent="0.3">
      <c r="B21" s="8"/>
      <c r="C21" s="146"/>
      <c r="D21" s="16"/>
      <c r="E21" s="62"/>
      <c r="O21" s="7"/>
      <c r="Q21" t="s">
        <v>46</v>
      </c>
      <c r="R21" s="22" t="s">
        <v>23</v>
      </c>
      <c r="S21" t="s">
        <v>41</v>
      </c>
    </row>
    <row r="22" spans="2:19" ht="25.2" customHeight="1" x14ac:dyDescent="0.3">
      <c r="B22" s="8"/>
      <c r="C22" s="146"/>
      <c r="D22" s="15"/>
      <c r="E22" s="62"/>
      <c r="F22" s="14"/>
      <c r="G22" s="14"/>
      <c r="H22" s="14"/>
      <c r="I22" s="14"/>
      <c r="J22" s="14"/>
      <c r="K22" s="14"/>
      <c r="L22" s="14"/>
      <c r="O22" s="7"/>
      <c r="Q22" t="s">
        <v>46</v>
      </c>
      <c r="R22" s="22" t="s">
        <v>54</v>
      </c>
      <c r="S22" t="s">
        <v>55</v>
      </c>
    </row>
    <row r="23" spans="2:19" ht="25.2" customHeight="1" x14ac:dyDescent="0.3">
      <c r="B23" s="8"/>
      <c r="C23" s="146"/>
      <c r="D23" s="15"/>
      <c r="E23" s="62"/>
      <c r="F23" s="14"/>
      <c r="G23" s="14"/>
      <c r="H23" s="14"/>
      <c r="I23" s="14"/>
      <c r="J23" s="14"/>
      <c r="K23" s="14"/>
      <c r="L23" s="14"/>
      <c r="O23" s="7"/>
      <c r="Q23" t="s">
        <v>46</v>
      </c>
      <c r="R23" s="22" t="s">
        <v>56</v>
      </c>
      <c r="S23" t="s">
        <v>57</v>
      </c>
    </row>
    <row r="24" spans="2:19" ht="25.2" customHeight="1" x14ac:dyDescent="0.3">
      <c r="B24" s="8"/>
      <c r="C24" s="146"/>
      <c r="D24" s="15"/>
      <c r="E24" s="62"/>
      <c r="F24" s="14"/>
      <c r="G24" s="14"/>
      <c r="H24" s="14"/>
      <c r="I24" s="14"/>
      <c r="J24" s="14"/>
      <c r="K24" s="14"/>
      <c r="L24" s="14"/>
      <c r="O24" s="7"/>
      <c r="Q24" t="s">
        <v>46</v>
      </c>
      <c r="R24" s="22" t="s">
        <v>58</v>
      </c>
      <c r="S24" t="s">
        <v>59</v>
      </c>
    </row>
    <row r="25" spans="2:19" ht="25.2" customHeight="1" x14ac:dyDescent="0.3">
      <c r="B25" s="8"/>
      <c r="C25" s="146"/>
      <c r="D25" s="15"/>
      <c r="E25" s="62"/>
      <c r="F25" s="14"/>
      <c r="G25" s="14"/>
      <c r="H25" s="14"/>
      <c r="I25" s="14"/>
      <c r="J25" s="14"/>
      <c r="K25" s="14"/>
      <c r="L25" s="14"/>
      <c r="O25" s="7"/>
      <c r="Q25" t="s">
        <v>46</v>
      </c>
      <c r="R25" s="22" t="s">
        <v>60</v>
      </c>
      <c r="S25" t="s">
        <v>61</v>
      </c>
    </row>
    <row r="26" spans="2:19" ht="25.2" customHeight="1" x14ac:dyDescent="0.3">
      <c r="B26" s="8"/>
      <c r="C26" s="146"/>
      <c r="D26" s="15"/>
      <c r="E26" s="62"/>
      <c r="O26" s="7"/>
      <c r="Q26" t="s">
        <v>46</v>
      </c>
      <c r="R26" s="22" t="s">
        <v>42</v>
      </c>
      <c r="S26" s="34" t="s">
        <v>62</v>
      </c>
    </row>
    <row r="27" spans="2:19" ht="25.2" customHeight="1" x14ac:dyDescent="0.3">
      <c r="B27" s="8"/>
      <c r="C27" s="146"/>
      <c r="D27" s="15"/>
      <c r="E27" s="62"/>
      <c r="M27" s="19"/>
      <c r="O27" s="7"/>
      <c r="Q27" t="s">
        <v>46</v>
      </c>
      <c r="R27" s="22" t="s">
        <v>44</v>
      </c>
      <c r="S27" s="34" t="s">
        <v>63</v>
      </c>
    </row>
    <row r="28" spans="2:19" ht="25.2" customHeight="1" x14ac:dyDescent="0.3">
      <c r="B28" s="8"/>
      <c r="C28" s="146"/>
      <c r="D28" s="15"/>
      <c r="E28" s="62"/>
      <c r="M28" s="19"/>
      <c r="O28" s="7"/>
      <c r="Q28" t="s">
        <v>64</v>
      </c>
      <c r="R28" s="23" t="s">
        <v>15</v>
      </c>
      <c r="S28" t="s">
        <v>65</v>
      </c>
    </row>
    <row r="29" spans="2:19" ht="25.2" customHeight="1" x14ac:dyDescent="0.3">
      <c r="B29" s="8"/>
      <c r="O29" s="7"/>
      <c r="Q29" t="s">
        <v>64</v>
      </c>
      <c r="R29" s="23" t="s">
        <v>50</v>
      </c>
      <c r="S29" t="s">
        <v>66</v>
      </c>
    </row>
    <row r="30" spans="2:19" ht="25.2" customHeight="1" x14ac:dyDescent="0.3">
      <c r="B30" s="8"/>
      <c r="M30" s="19"/>
      <c r="O30" s="7"/>
      <c r="Q30" t="s">
        <v>64</v>
      </c>
      <c r="R30" s="24" t="s">
        <v>52</v>
      </c>
      <c r="S30" t="s">
        <v>67</v>
      </c>
    </row>
    <row r="31" spans="2:19" ht="25.2" customHeight="1" x14ac:dyDescent="0.3">
      <c r="B31" s="8"/>
      <c r="O31" s="7"/>
      <c r="Q31" t="s">
        <v>64</v>
      </c>
      <c r="R31" s="24" t="s">
        <v>68</v>
      </c>
      <c r="S31" t="s">
        <v>69</v>
      </c>
    </row>
    <row r="32" spans="2:19" ht="25.2" customHeight="1" x14ac:dyDescent="0.3">
      <c r="B32" s="8"/>
      <c r="O32" s="7"/>
      <c r="Q32" t="s">
        <v>64</v>
      </c>
      <c r="R32" s="24" t="s">
        <v>70</v>
      </c>
      <c r="S32" t="s">
        <v>71</v>
      </c>
    </row>
    <row r="33" spans="2:19" x14ac:dyDescent="0.3">
      <c r="B33" s="8"/>
      <c r="O33" s="7"/>
      <c r="Q33" t="s">
        <v>64</v>
      </c>
      <c r="R33" s="24" t="s">
        <v>72</v>
      </c>
      <c r="S33" t="s">
        <v>73</v>
      </c>
    </row>
    <row r="34" spans="2:19" x14ac:dyDescent="0.3">
      <c r="B34" s="8"/>
      <c r="O34" s="7"/>
      <c r="Q34" t="s">
        <v>64</v>
      </c>
      <c r="R34" s="24" t="s">
        <v>74</v>
      </c>
      <c r="S34" t="s">
        <v>75</v>
      </c>
    </row>
    <row r="35" spans="2:19" x14ac:dyDescent="0.3">
      <c r="B35" s="8"/>
      <c r="O35" s="7"/>
      <c r="Q35" t="s">
        <v>64</v>
      </c>
      <c r="R35" s="24" t="s">
        <v>76</v>
      </c>
      <c r="S35" t="s">
        <v>77</v>
      </c>
    </row>
    <row r="36" spans="2:19" x14ac:dyDescent="0.3">
      <c r="B36" s="8"/>
      <c r="O36" s="7"/>
      <c r="Q36" t="s">
        <v>64</v>
      </c>
      <c r="R36" s="24" t="s">
        <v>78</v>
      </c>
      <c r="S36" s="34" t="s">
        <v>79</v>
      </c>
    </row>
    <row r="37" spans="2:19" x14ac:dyDescent="0.3">
      <c r="B37" s="8"/>
      <c r="O37" s="7"/>
      <c r="Q37" t="s">
        <v>64</v>
      </c>
      <c r="R37" s="24" t="s">
        <v>80</v>
      </c>
      <c r="S37" t="s">
        <v>81</v>
      </c>
    </row>
    <row r="38" spans="2:19" x14ac:dyDescent="0.3">
      <c r="B38" s="8"/>
      <c r="O38" s="7"/>
      <c r="Q38" t="s">
        <v>64</v>
      </c>
      <c r="R38" s="25" t="s">
        <v>82</v>
      </c>
      <c r="S38" t="s">
        <v>83</v>
      </c>
    </row>
    <row r="39" spans="2:19" x14ac:dyDescent="0.3">
      <c r="B39" s="8"/>
      <c r="O39" s="7"/>
      <c r="Q39" t="s">
        <v>84</v>
      </c>
      <c r="R39" s="26" t="s">
        <v>15</v>
      </c>
      <c r="S39" t="s">
        <v>85</v>
      </c>
    </row>
    <row r="40" spans="2:19" x14ac:dyDescent="0.3">
      <c r="B40" s="8"/>
      <c r="O40" s="7"/>
      <c r="Q40" t="s">
        <v>84</v>
      </c>
      <c r="R40" s="26" t="s">
        <v>76</v>
      </c>
      <c r="S40" t="s">
        <v>86</v>
      </c>
    </row>
    <row r="41" spans="2:19" x14ac:dyDescent="0.3">
      <c r="B41" s="8"/>
      <c r="O41" s="7"/>
      <c r="Q41" t="s">
        <v>84</v>
      </c>
      <c r="R41" s="26" t="s">
        <v>87</v>
      </c>
      <c r="S41" t="s">
        <v>88</v>
      </c>
    </row>
    <row r="42" spans="2:19" x14ac:dyDescent="0.3">
      <c r="B42" s="8"/>
      <c r="O42" s="7"/>
      <c r="Q42" t="s">
        <v>84</v>
      </c>
      <c r="R42" s="29" t="s">
        <v>89</v>
      </c>
      <c r="S42" t="s">
        <v>90</v>
      </c>
    </row>
    <row r="43" spans="2:19" x14ac:dyDescent="0.3">
      <c r="B43" s="8"/>
      <c r="O43" s="7"/>
      <c r="Q43" t="s">
        <v>84</v>
      </c>
      <c r="R43" s="26" t="s">
        <v>91</v>
      </c>
      <c r="S43" s="34" t="s">
        <v>92</v>
      </c>
    </row>
    <row r="44" spans="2:19" x14ac:dyDescent="0.3">
      <c r="B44" s="8"/>
      <c r="O44" s="7"/>
      <c r="Q44" t="s">
        <v>84</v>
      </c>
      <c r="R44" s="26" t="s">
        <v>23</v>
      </c>
      <c r="S44" s="34" t="s">
        <v>93</v>
      </c>
    </row>
    <row r="45" spans="2:19" x14ac:dyDescent="0.3">
      <c r="B45" s="8"/>
      <c r="O45" s="7"/>
      <c r="Q45" t="s">
        <v>94</v>
      </c>
      <c r="R45" s="27" t="s">
        <v>15</v>
      </c>
      <c r="S45" t="s">
        <v>95</v>
      </c>
    </row>
    <row r="46" spans="2:19" x14ac:dyDescent="0.3">
      <c r="B46" s="8"/>
      <c r="O46" s="7"/>
      <c r="Q46" t="s">
        <v>94</v>
      </c>
      <c r="R46" s="28" t="s">
        <v>76</v>
      </c>
      <c r="S46" t="s">
        <v>96</v>
      </c>
    </row>
    <row r="47" spans="2:19" x14ac:dyDescent="0.3">
      <c r="B47" s="8"/>
      <c r="O47" s="7"/>
      <c r="Q47" t="s">
        <v>94</v>
      </c>
      <c r="R47" s="28" t="s">
        <v>91</v>
      </c>
      <c r="S47" t="s">
        <v>97</v>
      </c>
    </row>
    <row r="48" spans="2:19" x14ac:dyDescent="0.3">
      <c r="B48" s="8"/>
      <c r="O48" s="7"/>
      <c r="Q48" t="s">
        <v>94</v>
      </c>
      <c r="R48" s="28" t="s">
        <v>98</v>
      </c>
      <c r="S48" s="34" t="s">
        <v>99</v>
      </c>
    </row>
    <row r="49" spans="2:19" x14ac:dyDescent="0.3">
      <c r="B49" s="8"/>
      <c r="O49" s="7"/>
      <c r="P49" s="19"/>
      <c r="Q49" t="s">
        <v>94</v>
      </c>
      <c r="R49" s="28" t="s">
        <v>100</v>
      </c>
      <c r="S49" s="34" t="s">
        <v>101</v>
      </c>
    </row>
    <row r="50" spans="2:19" x14ac:dyDescent="0.3">
      <c r="B50" s="8"/>
      <c r="O50" s="7"/>
      <c r="Q50" t="s">
        <v>94</v>
      </c>
      <c r="R50" s="28" t="s">
        <v>102</v>
      </c>
      <c r="S50" t="s">
        <v>103</v>
      </c>
    </row>
    <row r="51" spans="2:19" x14ac:dyDescent="0.3">
      <c r="B51" s="8"/>
      <c r="O51" s="7"/>
      <c r="P51" s="19"/>
      <c r="Q51" t="s">
        <v>94</v>
      </c>
      <c r="R51" s="28" t="s">
        <v>104</v>
      </c>
      <c r="S51" t="s">
        <v>105</v>
      </c>
    </row>
    <row r="52" spans="2:19" x14ac:dyDescent="0.3">
      <c r="B52" s="8"/>
      <c r="O52" s="7"/>
      <c r="Q52" t="s">
        <v>94</v>
      </c>
      <c r="R52" s="28" t="s">
        <v>106</v>
      </c>
      <c r="S52" t="s">
        <v>107</v>
      </c>
    </row>
    <row r="53" spans="2:19" x14ac:dyDescent="0.3">
      <c r="B53" s="8"/>
      <c r="O53" s="7"/>
      <c r="Q53" t="s">
        <v>94</v>
      </c>
      <c r="R53" s="28" t="s">
        <v>108</v>
      </c>
      <c r="S53" t="s">
        <v>109</v>
      </c>
    </row>
    <row r="54" spans="2:19" x14ac:dyDescent="0.3">
      <c r="B54" s="9"/>
      <c r="C54" s="10"/>
      <c r="D54" s="10"/>
      <c r="E54" s="10"/>
      <c r="F54" s="10"/>
      <c r="G54" s="10"/>
      <c r="H54" s="10"/>
      <c r="I54" s="10"/>
      <c r="J54" s="10"/>
      <c r="K54" s="10"/>
      <c r="L54" s="10"/>
      <c r="M54" s="10"/>
      <c r="N54" s="10"/>
      <c r="O54" s="11"/>
      <c r="Q54" t="s">
        <v>94</v>
      </c>
      <c r="R54" s="28" t="s">
        <v>110</v>
      </c>
      <c r="S54" t="s">
        <v>111</v>
      </c>
    </row>
    <row r="55" spans="2:19" x14ac:dyDescent="0.3">
      <c r="Q55" t="s">
        <v>112</v>
      </c>
      <c r="R55" s="23" t="s">
        <v>15</v>
      </c>
      <c r="S55" t="s">
        <v>113</v>
      </c>
    </row>
    <row r="56" spans="2:19" x14ac:dyDescent="0.3">
      <c r="Q56" t="s">
        <v>112</v>
      </c>
      <c r="R56" s="23" t="s">
        <v>114</v>
      </c>
      <c r="S56" t="s">
        <v>115</v>
      </c>
    </row>
    <row r="57" spans="2:19" x14ac:dyDescent="0.3">
      <c r="Q57" t="s">
        <v>112</v>
      </c>
      <c r="R57" s="23" t="s">
        <v>116</v>
      </c>
      <c r="S57" t="s">
        <v>117</v>
      </c>
    </row>
  </sheetData>
  <mergeCells count="3">
    <mergeCell ref="C5:L11"/>
    <mergeCell ref="C12:C17"/>
    <mergeCell ref="C18:C28"/>
  </mergeCells>
  <conditionalFormatting sqref="R13">
    <cfRule type="expression" dxfId="13" priority="1">
      <formula>#REF!="No"</formula>
    </cfRule>
  </conditionalFormatting>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CDF00-9BFD-425F-AE3E-472EF4330668}">
  <sheetPr codeName="Sheet4"/>
  <dimension ref="B4:P58"/>
  <sheetViews>
    <sheetView topLeftCell="D10" zoomScale="50" zoomScaleNormal="50" workbookViewId="0">
      <selection activeCell="C8" sqref="C8"/>
    </sheetView>
  </sheetViews>
  <sheetFormatPr defaultColWidth="9.33203125" defaultRowHeight="14.4" x14ac:dyDescent="0.3"/>
  <cols>
    <col min="1" max="3" width="9.33203125" style="6"/>
    <col min="4" max="4" width="44.6640625" style="6" customWidth="1"/>
    <col min="5" max="11" width="9.33203125" style="6"/>
    <col min="12" max="12" width="39" style="6" customWidth="1"/>
    <col min="13" max="16384" width="9.33203125" style="6"/>
  </cols>
  <sheetData>
    <row r="4" spans="2:15" x14ac:dyDescent="0.3">
      <c r="B4"/>
    </row>
    <row r="5" spans="2:15" x14ac:dyDescent="0.3">
      <c r="B5" s="3"/>
      <c r="C5" s="4"/>
      <c r="D5" s="4"/>
      <c r="E5" s="4"/>
      <c r="F5" s="4"/>
      <c r="G5" s="4"/>
      <c r="H5" s="4"/>
      <c r="I5" s="4"/>
      <c r="J5" s="4"/>
      <c r="K5" s="4"/>
      <c r="L5" s="4"/>
      <c r="M5" s="4"/>
      <c r="N5" s="4"/>
      <c r="O5" s="5"/>
    </row>
    <row r="6" spans="2:15" x14ac:dyDescent="0.3">
      <c r="B6" s="8"/>
      <c r="O6" s="7"/>
    </row>
    <row r="7" spans="2:15" ht="34.799999999999997" x14ac:dyDescent="0.55000000000000004">
      <c r="B7" s="8"/>
      <c r="C7" s="12" t="s">
        <v>118</v>
      </c>
      <c r="D7" s="13"/>
      <c r="E7" s="13"/>
      <c r="O7" s="7"/>
    </row>
    <row r="8" spans="2:15" x14ac:dyDescent="0.3">
      <c r="B8" s="8"/>
      <c r="O8" s="7"/>
    </row>
    <row r="9" spans="2:15" ht="15" customHeight="1" x14ac:dyDescent="0.3">
      <c r="B9" s="8"/>
      <c r="C9" s="145" t="s">
        <v>119</v>
      </c>
      <c r="D9" s="145"/>
      <c r="E9" s="145"/>
      <c r="F9" s="145"/>
      <c r="G9" s="145"/>
      <c r="H9" s="145"/>
      <c r="I9" s="145"/>
      <c r="J9" s="145"/>
      <c r="K9" s="145"/>
      <c r="L9" s="145"/>
      <c r="O9" s="7"/>
    </row>
    <row r="10" spans="2:15" x14ac:dyDescent="0.3">
      <c r="B10" s="8"/>
      <c r="C10" s="145"/>
      <c r="D10" s="145"/>
      <c r="E10" s="145"/>
      <c r="F10" s="145"/>
      <c r="G10" s="145"/>
      <c r="H10" s="145"/>
      <c r="I10" s="145"/>
      <c r="J10" s="145"/>
      <c r="K10" s="145"/>
      <c r="L10" s="145"/>
      <c r="O10" s="7"/>
    </row>
    <row r="11" spans="2:15" x14ac:dyDescent="0.3">
      <c r="B11" s="8"/>
      <c r="C11" s="145"/>
      <c r="D11" s="145"/>
      <c r="E11" s="145"/>
      <c r="F11" s="145"/>
      <c r="G11" s="145"/>
      <c r="H11" s="145"/>
      <c r="I11" s="145"/>
      <c r="J11" s="145"/>
      <c r="K11" s="145"/>
      <c r="L11" s="145"/>
      <c r="O11" s="7"/>
    </row>
    <row r="12" spans="2:15" ht="25.2" customHeight="1" x14ac:dyDescent="0.3">
      <c r="B12" s="8"/>
      <c r="C12" s="145"/>
      <c r="D12" s="145"/>
      <c r="E12" s="145"/>
      <c r="F12" s="145"/>
      <c r="G12" s="145"/>
      <c r="H12" s="145"/>
      <c r="I12" s="145"/>
      <c r="J12" s="145"/>
      <c r="K12" s="145"/>
      <c r="L12" s="145"/>
      <c r="O12" s="7"/>
    </row>
    <row r="13" spans="2:15" ht="25.2" customHeight="1" x14ac:dyDescent="0.3">
      <c r="B13" s="8"/>
      <c r="C13" s="145"/>
      <c r="D13" s="145"/>
      <c r="E13" s="145"/>
      <c r="F13" s="145"/>
      <c r="G13" s="145"/>
      <c r="H13" s="145"/>
      <c r="I13" s="145"/>
      <c r="J13" s="145"/>
      <c r="K13" s="145"/>
      <c r="L13" s="145"/>
      <c r="O13" s="7"/>
    </row>
    <row r="14" spans="2:15" ht="25.2" customHeight="1" x14ac:dyDescent="0.3">
      <c r="B14" s="8"/>
      <c r="C14" s="17"/>
      <c r="D14" s="15"/>
      <c r="E14" s="62"/>
      <c r="O14" s="7"/>
    </row>
    <row r="15" spans="2:15" ht="25.2" customHeight="1" x14ac:dyDescent="0.3">
      <c r="B15" s="8"/>
      <c r="C15" s="17"/>
      <c r="D15" s="15"/>
      <c r="E15" s="62"/>
      <c r="O15" s="7"/>
    </row>
    <row r="16" spans="2:15" ht="25.2" customHeight="1" x14ac:dyDescent="0.3">
      <c r="B16" s="8"/>
      <c r="C16" s="146"/>
      <c r="D16" s="15"/>
      <c r="E16" s="62"/>
      <c r="O16" s="7"/>
    </row>
    <row r="17" spans="2:15" ht="25.2" customHeight="1" x14ac:dyDescent="0.3">
      <c r="B17" s="8"/>
      <c r="C17" s="146"/>
      <c r="D17" s="15"/>
      <c r="E17" s="62"/>
      <c r="O17" s="7"/>
    </row>
    <row r="18" spans="2:15" ht="25.2" customHeight="1" x14ac:dyDescent="0.3">
      <c r="B18" s="8"/>
      <c r="C18" s="146"/>
      <c r="D18" s="15"/>
      <c r="E18" s="62"/>
      <c r="O18" s="7"/>
    </row>
    <row r="19" spans="2:15" ht="25.2" customHeight="1" x14ac:dyDescent="0.3">
      <c r="B19" s="8"/>
      <c r="C19" s="146"/>
      <c r="D19" s="15"/>
      <c r="E19" s="62"/>
      <c r="O19" s="7"/>
    </row>
    <row r="20" spans="2:15" ht="25.2" customHeight="1" x14ac:dyDescent="0.3">
      <c r="B20" s="8"/>
      <c r="C20" s="146"/>
      <c r="D20" s="15"/>
      <c r="E20" s="62"/>
      <c r="O20" s="7"/>
    </row>
    <row r="21" spans="2:15" ht="25.2" customHeight="1" x14ac:dyDescent="0.3">
      <c r="B21" s="8"/>
      <c r="C21" s="146"/>
      <c r="D21" s="15"/>
      <c r="E21" s="62"/>
      <c r="O21" s="7"/>
    </row>
    <row r="22" spans="2:15" ht="25.2" customHeight="1" x14ac:dyDescent="0.3">
      <c r="B22" s="8"/>
      <c r="C22" s="146"/>
      <c r="D22" s="15"/>
      <c r="E22" s="62"/>
      <c r="O22" s="7"/>
    </row>
    <row r="23" spans="2:15" ht="25.2" customHeight="1" x14ac:dyDescent="0.3">
      <c r="B23" s="8"/>
      <c r="C23" s="146"/>
      <c r="D23" s="15"/>
      <c r="E23" s="62"/>
      <c r="O23" s="7"/>
    </row>
    <row r="24" spans="2:15" ht="25.2" customHeight="1" x14ac:dyDescent="0.3">
      <c r="B24" s="8"/>
      <c r="C24" s="146"/>
      <c r="D24" s="15"/>
      <c r="E24" s="62"/>
      <c r="O24" s="7"/>
    </row>
    <row r="25" spans="2:15" ht="25.2" customHeight="1" x14ac:dyDescent="0.3">
      <c r="B25" s="8"/>
      <c r="C25" s="146"/>
      <c r="D25" s="16"/>
      <c r="E25" s="62"/>
      <c r="O25" s="7"/>
    </row>
    <row r="26" spans="2:15" ht="25.2" customHeight="1" x14ac:dyDescent="0.3">
      <c r="B26" s="8"/>
      <c r="C26" s="146"/>
      <c r="D26" s="15"/>
      <c r="E26" s="62"/>
      <c r="F26" s="14"/>
      <c r="G26" s="14"/>
      <c r="H26" s="14"/>
      <c r="I26" s="14"/>
      <c r="J26" s="14"/>
      <c r="K26" s="14"/>
      <c r="L26" s="14"/>
      <c r="O26" s="7"/>
    </row>
    <row r="27" spans="2:15" ht="25.2" customHeight="1" x14ac:dyDescent="0.3">
      <c r="B27" s="8"/>
      <c r="C27" s="146"/>
      <c r="D27" s="15"/>
      <c r="E27" s="62"/>
      <c r="F27" s="14"/>
      <c r="G27" s="14"/>
      <c r="H27" s="14"/>
      <c r="I27" s="14"/>
      <c r="J27" s="14"/>
      <c r="K27" s="14"/>
      <c r="L27" s="14"/>
      <c r="O27" s="7"/>
    </row>
    <row r="28" spans="2:15" ht="25.2" customHeight="1" x14ac:dyDescent="0.3">
      <c r="B28" s="8"/>
      <c r="C28" s="146"/>
      <c r="D28" s="15"/>
      <c r="E28" s="62"/>
      <c r="F28" s="14"/>
      <c r="G28" s="14"/>
      <c r="H28" s="14"/>
      <c r="I28" s="14"/>
      <c r="J28" s="14"/>
      <c r="K28" s="14"/>
      <c r="L28" s="14"/>
      <c r="O28" s="7"/>
    </row>
    <row r="29" spans="2:15" ht="25.2" customHeight="1" x14ac:dyDescent="0.3">
      <c r="B29" s="8"/>
      <c r="C29" s="146"/>
      <c r="D29" s="15"/>
      <c r="E29" s="62"/>
      <c r="F29" s="14"/>
      <c r="G29" s="14"/>
      <c r="H29" s="14"/>
      <c r="I29" s="14"/>
      <c r="J29" s="14"/>
      <c r="K29" s="14"/>
      <c r="L29" s="14"/>
      <c r="O29" s="7"/>
    </row>
    <row r="30" spans="2:15" ht="25.2" customHeight="1" x14ac:dyDescent="0.3">
      <c r="B30" s="8"/>
      <c r="C30" s="146"/>
      <c r="D30" s="15"/>
      <c r="E30" s="62"/>
      <c r="O30" s="7"/>
    </row>
    <row r="31" spans="2:15" ht="25.2" customHeight="1" x14ac:dyDescent="0.3">
      <c r="B31" s="8"/>
      <c r="C31" s="146"/>
      <c r="D31" s="15"/>
      <c r="E31" s="62"/>
      <c r="M31" s="19"/>
      <c r="O31" s="7"/>
    </row>
    <row r="32" spans="2:15" ht="25.2" customHeight="1" x14ac:dyDescent="0.3">
      <c r="B32" s="8"/>
      <c r="C32" s="146"/>
      <c r="D32" s="15"/>
      <c r="E32" s="62"/>
      <c r="M32" s="19"/>
      <c r="O32" s="7"/>
    </row>
    <row r="33" spans="2:15" x14ac:dyDescent="0.3">
      <c r="B33" s="8"/>
      <c r="O33" s="7"/>
    </row>
    <row r="34" spans="2:15" x14ac:dyDescent="0.3">
      <c r="B34" s="8"/>
      <c r="M34" s="19"/>
      <c r="O34" s="7"/>
    </row>
    <row r="35" spans="2:15" x14ac:dyDescent="0.3">
      <c r="B35" s="8"/>
      <c r="O35" s="7"/>
    </row>
    <row r="36" spans="2:15" x14ac:dyDescent="0.3">
      <c r="B36" s="8"/>
      <c r="O36" s="7"/>
    </row>
    <row r="37" spans="2:15" x14ac:dyDescent="0.3">
      <c r="B37" s="8"/>
      <c r="O37" s="7"/>
    </row>
    <row r="38" spans="2:15" x14ac:dyDescent="0.3">
      <c r="B38" s="8"/>
      <c r="O38" s="7"/>
    </row>
    <row r="39" spans="2:15" x14ac:dyDescent="0.3">
      <c r="B39" s="8"/>
      <c r="O39" s="7"/>
    </row>
    <row r="40" spans="2:15" x14ac:dyDescent="0.3">
      <c r="B40" s="8"/>
      <c r="O40" s="7"/>
    </row>
    <row r="41" spans="2:15" x14ac:dyDescent="0.3">
      <c r="B41" s="8"/>
      <c r="O41" s="7"/>
    </row>
    <row r="42" spans="2:15" x14ac:dyDescent="0.3">
      <c r="B42" s="8"/>
      <c r="O42" s="7"/>
    </row>
    <row r="43" spans="2:15" x14ac:dyDescent="0.3">
      <c r="B43" s="8"/>
      <c r="O43" s="7"/>
    </row>
    <row r="44" spans="2:15" x14ac:dyDescent="0.3">
      <c r="B44" s="8"/>
      <c r="O44" s="7"/>
    </row>
    <row r="45" spans="2:15" x14ac:dyDescent="0.3">
      <c r="B45" s="8"/>
      <c r="O45" s="7"/>
    </row>
    <row r="46" spans="2:15" x14ac:dyDescent="0.3">
      <c r="B46" s="8"/>
      <c r="O46" s="7"/>
    </row>
    <row r="47" spans="2:15" x14ac:dyDescent="0.3">
      <c r="B47" s="8"/>
      <c r="O47" s="7"/>
    </row>
    <row r="48" spans="2:15" x14ac:dyDescent="0.3">
      <c r="B48" s="8"/>
      <c r="O48" s="7"/>
    </row>
    <row r="49" spans="2:16" x14ac:dyDescent="0.3">
      <c r="B49" s="8"/>
      <c r="O49" s="7"/>
      <c r="P49" s="19"/>
    </row>
    <row r="50" spans="2:16" x14ac:dyDescent="0.3">
      <c r="B50" s="8"/>
      <c r="O50" s="7"/>
    </row>
    <row r="51" spans="2:16" x14ac:dyDescent="0.3">
      <c r="B51" s="8"/>
      <c r="O51" s="7"/>
      <c r="P51" s="19"/>
    </row>
    <row r="52" spans="2:16" x14ac:dyDescent="0.3">
      <c r="B52" s="8"/>
      <c r="O52" s="7"/>
    </row>
    <row r="53" spans="2:16" x14ac:dyDescent="0.3">
      <c r="B53" s="8"/>
      <c r="O53" s="7"/>
    </row>
    <row r="54" spans="2:16" x14ac:dyDescent="0.3">
      <c r="B54" s="8"/>
      <c r="O54" s="7"/>
    </row>
    <row r="55" spans="2:16" x14ac:dyDescent="0.3">
      <c r="B55" s="8"/>
      <c r="O55" s="7"/>
    </row>
    <row r="56" spans="2:16" x14ac:dyDescent="0.3">
      <c r="B56" s="8"/>
      <c r="O56" s="7"/>
    </row>
    <row r="57" spans="2:16" x14ac:dyDescent="0.3">
      <c r="B57" s="8"/>
      <c r="O57" s="7"/>
    </row>
    <row r="58" spans="2:16" x14ac:dyDescent="0.3">
      <c r="B58" s="9"/>
      <c r="C58" s="10"/>
      <c r="D58" s="10"/>
      <c r="E58" s="10"/>
      <c r="F58" s="10"/>
      <c r="G58" s="10"/>
      <c r="H58" s="10"/>
      <c r="I58" s="10"/>
      <c r="J58" s="10"/>
      <c r="K58" s="10"/>
      <c r="L58" s="10"/>
      <c r="M58" s="10"/>
      <c r="N58" s="10"/>
      <c r="O58" s="11"/>
    </row>
  </sheetData>
  <mergeCells count="3">
    <mergeCell ref="C9:L13"/>
    <mergeCell ref="C16:C21"/>
    <mergeCell ref="C22:C3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B1:F5"/>
  <sheetViews>
    <sheetView zoomScale="115" zoomScaleNormal="115" workbookViewId="0">
      <selection activeCell="D11" sqref="D11"/>
    </sheetView>
  </sheetViews>
  <sheetFormatPr defaultRowHeight="14.4" x14ac:dyDescent="0.3"/>
  <cols>
    <col min="3" max="3" width="39.44140625" bestFit="1" customWidth="1"/>
    <col min="4" max="4" width="64.33203125" style="31" bestFit="1" customWidth="1"/>
    <col min="5" max="5" width="255.6640625" bestFit="1" customWidth="1"/>
    <col min="6" max="6" width="20.109375" bestFit="1" customWidth="1"/>
  </cols>
  <sheetData>
    <row r="1" spans="2:6" x14ac:dyDescent="0.3">
      <c r="B1" t="s">
        <v>15</v>
      </c>
      <c r="C1" t="s">
        <v>18</v>
      </c>
      <c r="D1" t="s">
        <v>20</v>
      </c>
      <c r="E1" t="s">
        <v>23</v>
      </c>
      <c r="F1" t="s">
        <v>25</v>
      </c>
    </row>
    <row r="2" spans="2:6" x14ac:dyDescent="0.3">
      <c r="B2">
        <v>1</v>
      </c>
      <c r="C2" t="s">
        <v>120</v>
      </c>
      <c r="D2" s="31" t="str">
        <f>SUBSTITUTE(SUBSTITUTE(SUBSTITUTE(SUBSTITUTE(LOWER(C2),"&amp;",""),"-",""),"  ","-")," ","-")</f>
        <v>beverage-production</v>
      </c>
      <c r="E2" s="63" t="s">
        <v>121</v>
      </c>
    </row>
    <row r="3" spans="2:6" ht="32.700000000000003" customHeight="1" x14ac:dyDescent="0.3">
      <c r="B3" s="31">
        <v>2</v>
      </c>
      <c r="C3" s="86" t="s">
        <v>122</v>
      </c>
      <c r="D3" s="31" t="str">
        <f>SUBSTITUTE(SUBSTITUTE(SUBSTITUTE(SUBSTITUTE(LOWER(C3),"&amp;",""),"-",""),"  ","-")," ","-")</f>
        <v>coffee-machine</v>
      </c>
      <c r="E3" s="87" t="s">
        <v>123</v>
      </c>
      <c r="F3" s="31"/>
    </row>
    <row r="4" spans="2:6" x14ac:dyDescent="0.3">
      <c r="B4" s="31">
        <v>3</v>
      </c>
      <c r="C4" s="86" t="s">
        <v>124</v>
      </c>
      <c r="D4" s="31" t="str">
        <f>SUBSTITUTE(SUBSTITUTE(SUBSTITUTE(SUBSTITUTE(LOWER(C4),"&amp;",""),"-",""),"  ","-")," ","-")</f>
        <v>sales</v>
      </c>
      <c r="E4" s="87" t="s">
        <v>125</v>
      </c>
      <c r="F4" s="31"/>
    </row>
    <row r="5" spans="2:6" x14ac:dyDescent="0.3">
      <c r="B5" s="31">
        <v>4</v>
      </c>
      <c r="C5" s="86" t="s">
        <v>126</v>
      </c>
      <c r="D5" s="31" t="str">
        <f>SUBSTITUTE(SUBSTITUTE(SUBSTITUTE(SUBSTITUTE(LOWER(C5),"&amp;",""),"-",""),"  ","-")," ","-")</f>
        <v>product-asset-management</v>
      </c>
      <c r="E5" s="87" t="s">
        <v>127</v>
      </c>
      <c r="F5" s="31"/>
    </row>
  </sheetData>
  <conditionalFormatting sqref="D2:D5">
    <cfRule type="notContainsBlanks" dxfId="12" priority="1">
      <formula>LEN(TRIM(D2))&gt;0</formula>
    </cfRule>
  </conditionalFormatting>
  <dataValidations count="1">
    <dataValidation type="list" allowBlank="1" showInputMessage="1" showErrorMessage="1" sqref="F2:F5" xr:uid="{B994A52C-3598-463A-BA9A-BE9BFB179C0A}"/>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3EFB5-3837-478B-B87D-A517AC7F9D75}">
  <sheetPr codeName="Sheet6"/>
  <dimension ref="A1:P12"/>
  <sheetViews>
    <sheetView tabSelected="1" zoomScale="130" zoomScaleNormal="130" workbookViewId="0">
      <selection activeCell="I6" sqref="I6"/>
    </sheetView>
  </sheetViews>
  <sheetFormatPr defaultColWidth="8.6640625" defaultRowHeight="14.4" x14ac:dyDescent="0.3"/>
  <cols>
    <col min="1" max="1" width="9.33203125" style="31" customWidth="1"/>
    <col min="3" max="3" width="61.33203125" bestFit="1" customWidth="1"/>
    <col min="4" max="4" width="31.44140625" style="32" customWidth="1"/>
    <col min="5" max="5" width="94.6640625" style="31" bestFit="1" customWidth="1"/>
    <col min="6" max="6" width="28.6640625" customWidth="1"/>
    <col min="7" max="7" width="42.5546875" style="31" customWidth="1"/>
    <col min="8" max="8" width="27.109375" bestFit="1" customWidth="1"/>
    <col min="9" max="9" width="13.5546875" customWidth="1"/>
    <col min="10" max="10" width="21.33203125" style="31" customWidth="1"/>
    <col min="11" max="11" width="58.33203125" bestFit="1" customWidth="1"/>
    <col min="12" max="12" width="29.5546875" style="31" customWidth="1"/>
    <col min="13" max="13" width="61.5546875" style="31" customWidth="1"/>
    <col min="14" max="14" width="68.5546875" bestFit="1" customWidth="1"/>
    <col min="15" max="15" width="35.44140625" bestFit="1" customWidth="1"/>
    <col min="16" max="16" width="38.5546875" bestFit="1" customWidth="1"/>
    <col min="17" max="17" width="23.6640625" bestFit="1" customWidth="1"/>
    <col min="18" max="18" width="9.33203125"/>
    <col min="19" max="19" width="30" bestFit="1" customWidth="1"/>
    <col min="20" max="20" width="26.6640625" customWidth="1"/>
  </cols>
  <sheetData>
    <row r="1" spans="2:16" x14ac:dyDescent="0.3">
      <c r="B1" t="s">
        <v>15</v>
      </c>
      <c r="C1" t="s">
        <v>29</v>
      </c>
      <c r="D1" s="30" t="s">
        <v>128</v>
      </c>
      <c r="E1" s="30" t="s">
        <v>35</v>
      </c>
      <c r="F1" t="s">
        <v>31</v>
      </c>
      <c r="G1" s="30" t="s">
        <v>129</v>
      </c>
      <c r="H1" t="s">
        <v>33</v>
      </c>
      <c r="I1" t="s">
        <v>37</v>
      </c>
      <c r="J1" s="30" t="s">
        <v>39</v>
      </c>
      <c r="K1" t="s">
        <v>130</v>
      </c>
      <c r="L1" s="30" t="s">
        <v>131</v>
      </c>
      <c r="M1" s="30" t="s">
        <v>132</v>
      </c>
      <c r="N1" t="s">
        <v>23</v>
      </c>
      <c r="O1" t="s">
        <v>42</v>
      </c>
      <c r="P1" t="s">
        <v>44</v>
      </c>
    </row>
    <row r="2" spans="2:16" ht="57.6" x14ac:dyDescent="0.3">
      <c r="B2" s="31">
        <v>1</v>
      </c>
      <c r="C2" s="31" t="s">
        <v>133</v>
      </c>
      <c r="D2" s="33" t="str">
        <f>Table1[[#This Row],[Data Domain]]</f>
        <v>coffee-machine</v>
      </c>
      <c r="E2" s="33" t="str">
        <f>IF(Table1[[#This Row],[Has Parent]]="Yes",Table1[[#This Row],[Unique Domain Qualified Name]]&amp;"--"&amp;Table1[[#This Row],[Parent entity Qualified Name3]]&amp;"--"&amp;Table1[[#This Row],[Child entity qualified name2]],Table1[[#This Row],[Unique Domain Qualified Name]]&amp;"--"&amp;Table1[[#This Row],[Child entity qualified name2]])</f>
        <v>coffee-machine--machine-events</v>
      </c>
      <c r="F2" s="94" t="s">
        <v>134</v>
      </c>
      <c r="G2" s="33" t="str">
        <f>SUBSTITUTE(SUBSTITUTE(SUBSTITUTE(SUBSTITUTE(LOWER(F2),"&amp;",""),"-",""),"  ","-")," ","-")</f>
        <v>machine-events</v>
      </c>
      <c r="H2" s="96" t="s">
        <v>135</v>
      </c>
      <c r="I2" s="96" t="s">
        <v>136</v>
      </c>
      <c r="K2" s="121"/>
      <c r="L2" s="33"/>
      <c r="M2" s="33"/>
      <c r="N2" s="99" t="s">
        <v>137</v>
      </c>
      <c r="O2" s="31"/>
      <c r="P2" s="31"/>
    </row>
    <row r="3" spans="2:16" ht="43.2" x14ac:dyDescent="0.3">
      <c r="B3">
        <v>2</v>
      </c>
      <c r="C3" s="31" t="s">
        <v>133</v>
      </c>
      <c r="D3" s="33" t="str">
        <f>Table1[[#This Row],[Data Domain]]</f>
        <v>coffee-machine</v>
      </c>
      <c r="E3" s="33" t="str">
        <f>IF(Table1[[#This Row],[Has Parent]]="Yes",Table1[[#This Row],[Unique Domain Qualified Name]]&amp;"--"&amp;Table1[[#This Row],[Parent entity Qualified Name3]]&amp;"--"&amp;Table1[[#This Row],[Child entity qualified name2]],Table1[[#This Row],[Unique Domain Qualified Name]]&amp;"--"&amp;Table1[[#This Row],[Child entity qualified name2]])</f>
        <v>coffee-machine--machine-state</v>
      </c>
      <c r="F3" s="95" t="s">
        <v>138</v>
      </c>
      <c r="G3" s="33" t="str">
        <f>SUBSTITUTE(SUBSTITUTE(SUBSTITUTE(SUBSTITUTE(LOWER(F3),"&amp;",""),"-",""),"  ","-")," ","-")</f>
        <v>machine-state</v>
      </c>
      <c r="H3" s="97" t="s">
        <v>135</v>
      </c>
      <c r="I3" s="97" t="s">
        <v>136</v>
      </c>
      <c r="K3" s="72"/>
      <c r="L3" s="33"/>
      <c r="M3" s="33"/>
      <c r="N3" s="69" t="s">
        <v>139</v>
      </c>
      <c r="P3" s="31"/>
    </row>
    <row r="4" spans="2:16" ht="57.6" x14ac:dyDescent="0.3">
      <c r="B4">
        <v>3</v>
      </c>
      <c r="C4" s="31" t="s">
        <v>133</v>
      </c>
      <c r="D4" s="33" t="str">
        <f>Table1[[#This Row],[Data Domain]]</f>
        <v>coffee-machine</v>
      </c>
      <c r="E4" s="33" t="str">
        <f>IF(Table1[[#This Row],[Has Parent]]="Yes",Table1[[#This Row],[Unique Domain Qualified Name]]&amp;"--"&amp;Table1[[#This Row],[Parent entity Qualified Name3]]&amp;"--"&amp;Table1[[#This Row],[Child entity qualified name2]],Table1[[#This Row],[Unique Domain Qualified Name]]&amp;"--"&amp;Table1[[#This Row],[Child entity qualified name2]])</f>
        <v>coffee-machine----grinder-control</v>
      </c>
      <c r="F4" s="94" t="s">
        <v>140</v>
      </c>
      <c r="G4" s="33" t="str">
        <f t="shared" ref="G4:G6" si="0">SUBSTITUTE(SUBSTITUTE(SUBSTITUTE(SUBSTITUTE(LOWER(F4),"&amp;",""),"-",""),"  ","-")," ","-")</f>
        <v>grinder-control</v>
      </c>
      <c r="H4" s="96" t="s">
        <v>136</v>
      </c>
      <c r="I4" s="96" t="s">
        <v>135</v>
      </c>
      <c r="J4" s="98" t="s">
        <v>141</v>
      </c>
      <c r="K4" t="s">
        <v>142</v>
      </c>
      <c r="L4" s="33"/>
      <c r="M4" s="98"/>
      <c r="N4" s="100" t="s">
        <v>143</v>
      </c>
    </row>
    <row r="5" spans="2:16" ht="72" x14ac:dyDescent="0.3">
      <c r="B5">
        <v>4</v>
      </c>
      <c r="C5" s="31" t="s">
        <v>133</v>
      </c>
      <c r="D5" s="33" t="str">
        <f>Table1[[#This Row],[Data Domain]]</f>
        <v>coffee-machine</v>
      </c>
      <c r="E5" s="33" t="str">
        <f>IF(Table1[[#This Row],[Has Parent]]="Yes",Table1[[#This Row],[Unique Domain Qualified Name]]&amp;"--"&amp;Table1[[#This Row],[Parent entity Qualified Name3]]&amp;"--"&amp;Table1[[#This Row],[Child entity qualified name2]],Table1[[#This Row],[Unique Domain Qualified Name]]&amp;"--"&amp;Table1[[#This Row],[Child entity qualified name2]])</f>
        <v>coffee-machine----machine-recipe</v>
      </c>
      <c r="F5" s="95" t="s">
        <v>144</v>
      </c>
      <c r="G5" s="33" t="str">
        <f t="shared" si="0"/>
        <v>machine-recipe</v>
      </c>
      <c r="H5" s="98" t="s">
        <v>136</v>
      </c>
      <c r="I5" s="98" t="s">
        <v>135</v>
      </c>
      <c r="J5" s="98" t="s">
        <v>141</v>
      </c>
      <c r="K5" s="72" t="s">
        <v>142</v>
      </c>
      <c r="L5" s="33"/>
      <c r="M5" s="98"/>
      <c r="N5" s="101" t="s">
        <v>145</v>
      </c>
    </row>
    <row r="6" spans="2:16" ht="72" x14ac:dyDescent="0.3">
      <c r="B6" s="31">
        <v>5</v>
      </c>
      <c r="C6" s="31" t="s">
        <v>146</v>
      </c>
      <c r="D6" s="33" t="str">
        <f>Table1[[#This Row],[Data Domain]]</f>
        <v>beverage-production</v>
      </c>
      <c r="E6" s="33" t="str">
        <f>IF(Table1[[#This Row],[Has Parent]]="Yes",Table1[[#This Row],[Unique Domain Qualified Name]]&amp;"--"&amp;Table1[[#This Row],[Parent entity Qualified Name3]]&amp;"--"&amp;Table1[[#This Row],[Child entity qualified name2]],Table1[[#This Row],[Unique Domain Qualified Name]]&amp;"--"&amp;Table1[[#This Row],[Child entity qualified name2]])</f>
        <v>beverage-production--customized-beverage</v>
      </c>
      <c r="F6" s="94" t="s">
        <v>147</v>
      </c>
      <c r="G6" s="33" t="str">
        <f t="shared" si="0"/>
        <v>customized-beverage</v>
      </c>
      <c r="H6" s="96" t="s">
        <v>135</v>
      </c>
      <c r="I6" s="96" t="s">
        <v>136</v>
      </c>
      <c r="K6" s="72"/>
      <c r="L6" s="33"/>
      <c r="M6" s="33"/>
      <c r="N6" s="99" t="s">
        <v>148</v>
      </c>
    </row>
    <row r="7" spans="2:16" ht="43.2" x14ac:dyDescent="0.3">
      <c r="B7" s="31">
        <v>6</v>
      </c>
      <c r="C7" s="31" t="s">
        <v>146</v>
      </c>
      <c r="D7" s="93" t="str">
        <f>Table1[[#This Row],[Data Domain]]</f>
        <v>beverage-production</v>
      </c>
      <c r="E7" s="2" t="str">
        <f>IF(Table1[[#This Row],[Has Parent]]="Yes",Table1[[#This Row],[Unique Domain Qualified Name]]&amp;"--"&amp;Table1[[#This Row],[Parent entity Qualified Name3]]&amp;"--"&amp;Table1[[#This Row],[Child entity qualified name2]],Table1[[#This Row],[Unique Domain Qualified Name]]&amp;"--"&amp;Table1[[#This Row],[Child entity qualified name2]])</f>
        <v>beverage-production--consumption-records</v>
      </c>
      <c r="F7" s="95" t="s">
        <v>149</v>
      </c>
      <c r="G7" s="33" t="str">
        <f t="shared" ref="G7:G12" si="1">SUBSTITUTE(SUBSTITUTE(SUBSTITUTE(SUBSTITUTE(LOWER(F7),"&amp;",""),"-",""),"  ","-")," ","-")</f>
        <v>consumption-records</v>
      </c>
      <c r="H7" s="98" t="s">
        <v>135</v>
      </c>
      <c r="I7" s="98" t="s">
        <v>136</v>
      </c>
      <c r="K7" s="33"/>
      <c r="L7" s="33"/>
      <c r="M7" s="33"/>
      <c r="N7" s="102" t="s">
        <v>150</v>
      </c>
      <c r="O7" s="31"/>
      <c r="P7" s="31"/>
    </row>
    <row r="8" spans="2:16" x14ac:dyDescent="0.3">
      <c r="B8">
        <v>7</v>
      </c>
      <c r="C8" s="31" t="s">
        <v>151</v>
      </c>
      <c r="D8" s="93" t="str">
        <f>Table1[[#This Row],[Data Domain]]</f>
        <v>sales</v>
      </c>
      <c r="E8" s="2" t="str">
        <f>IF(Table1[[#This Row],[Has Parent]]="Yes",Table1[[#This Row],[Unique Domain Qualified Name]]&amp;"--"&amp;Table1[[#This Row],[Parent entity Qualified Name3]]&amp;"--"&amp;Table1[[#This Row],[Child entity qualified name2]],Table1[[#This Row],[Unique Domain Qualified Name]]&amp;"--"&amp;Table1[[#This Row],[Child entity qualified name2]])</f>
        <v>sales--end-customer</v>
      </c>
      <c r="F8" s="94" t="s">
        <v>152</v>
      </c>
      <c r="G8" s="33" t="str">
        <f t="shared" si="1"/>
        <v>end-customer</v>
      </c>
      <c r="H8" s="96" t="s">
        <v>135</v>
      </c>
      <c r="I8" s="96" t="s">
        <v>136</v>
      </c>
      <c r="K8" s="33"/>
      <c r="L8" s="33"/>
      <c r="M8" s="33"/>
      <c r="N8" s="103" t="s">
        <v>153</v>
      </c>
      <c r="O8" s="31"/>
      <c r="P8" s="31"/>
    </row>
    <row r="9" spans="2:16" ht="57.6" x14ac:dyDescent="0.3">
      <c r="B9">
        <v>8</v>
      </c>
      <c r="C9" s="31" t="s">
        <v>133</v>
      </c>
      <c r="D9" s="93" t="str">
        <f>Table1[[#This Row],[Data Domain]]</f>
        <v>coffee-machine</v>
      </c>
      <c r="E9" s="2" t="str">
        <f>IF(Table1[[#This Row],[Has Parent]]="Yes",Table1[[#This Row],[Unique Domain Qualified Name]]&amp;"--"&amp;Table1[[#This Row],[Parent entity Qualified Name3]]&amp;"--"&amp;Table1[[#This Row],[Child entity qualified name2]],Table1[[#This Row],[Unique Domain Qualified Name]]&amp;"--"&amp;Table1[[#This Row],[Child entity qualified name2]])</f>
        <v>coffee-machine----canister-control</v>
      </c>
      <c r="F9" s="95" t="s">
        <v>154</v>
      </c>
      <c r="G9" s="33" t="str">
        <f t="shared" si="1"/>
        <v>canister-control</v>
      </c>
      <c r="H9" s="98" t="s">
        <v>136</v>
      </c>
      <c r="I9" s="98" t="s">
        <v>135</v>
      </c>
      <c r="J9" s="98" t="s">
        <v>141</v>
      </c>
      <c r="K9" s="33" t="s">
        <v>142</v>
      </c>
      <c r="L9" s="33"/>
      <c r="M9" s="98"/>
      <c r="N9" s="101" t="s">
        <v>155</v>
      </c>
      <c r="O9" s="31"/>
      <c r="P9" s="31"/>
    </row>
    <row r="10" spans="2:16" ht="72" x14ac:dyDescent="0.3">
      <c r="B10">
        <v>9</v>
      </c>
      <c r="C10" s="31" t="s">
        <v>133</v>
      </c>
      <c r="D10" s="93" t="str">
        <f>Table1[[#This Row],[Data Domain]]</f>
        <v>coffee-machine</v>
      </c>
      <c r="E10" s="2" t="str">
        <f>IF(Table1[[#This Row],[Has Parent]]="Yes",Table1[[#This Row],[Unique Domain Qualified Name]]&amp;"--"&amp;Table1[[#This Row],[Parent entity Qualified Name3]]&amp;"--"&amp;Table1[[#This Row],[Child entity qualified name2]],Table1[[#This Row],[Unique Domain Qualified Name]]&amp;"--"&amp;Table1[[#This Row],[Child entity qualified name2]])</f>
        <v>coffee-machine--machine</v>
      </c>
      <c r="F10" s="94" t="s">
        <v>156</v>
      </c>
      <c r="G10" s="33" t="str">
        <f t="shared" si="1"/>
        <v>machine</v>
      </c>
      <c r="H10" s="96" t="s">
        <v>135</v>
      </c>
      <c r="I10" s="96" t="s">
        <v>136</v>
      </c>
      <c r="K10" s="33"/>
      <c r="L10" s="33"/>
      <c r="M10" s="33"/>
      <c r="N10" s="104" t="s">
        <v>157</v>
      </c>
      <c r="O10" s="31"/>
      <c r="P10" s="31"/>
    </row>
    <row r="11" spans="2:16" x14ac:dyDescent="0.3">
      <c r="B11" s="31">
        <v>10</v>
      </c>
      <c r="C11" s="31" t="s">
        <v>133</v>
      </c>
      <c r="D11" s="93" t="str">
        <f>Table1[[#This Row],[Data Domain]]</f>
        <v>coffee-machine</v>
      </c>
      <c r="E11" s="2" t="str">
        <f>IF(Table1[[#This Row],[Has Parent]]="Yes",Table1[[#This Row],[Unique Domain Qualified Name]]&amp;"--"&amp;Table1[[#This Row],[Parent entity Qualified Name3]]&amp;"--"&amp;Table1[[#This Row],[Child entity qualified name2]],Table1[[#This Row],[Unique Domain Qualified Name]]&amp;"--"&amp;Table1[[#This Row],[Child entity qualified name2]])</f>
        <v>coffee-machine--machine-configuration</v>
      </c>
      <c r="F11" s="95" t="s">
        <v>141</v>
      </c>
      <c r="G11" s="33" t="str">
        <f t="shared" si="1"/>
        <v>machine-configuration</v>
      </c>
      <c r="H11" s="98" t="s">
        <v>135</v>
      </c>
      <c r="I11" s="98" t="s">
        <v>136</v>
      </c>
      <c r="K11" s="33"/>
      <c r="L11" s="33"/>
      <c r="M11" s="33"/>
      <c r="N11" s="102" t="s">
        <v>158</v>
      </c>
      <c r="O11" s="31"/>
      <c r="P11" s="31"/>
    </row>
    <row r="12" spans="2:16" ht="43.2" x14ac:dyDescent="0.3">
      <c r="B12" s="31">
        <v>11</v>
      </c>
      <c r="C12" s="31" t="s">
        <v>159</v>
      </c>
      <c r="D12" s="93" t="str">
        <f>Table1[[#This Row],[Data Domain]]</f>
        <v>product-asset-management</v>
      </c>
      <c r="E12" s="2" t="str">
        <f>IF(Table1[[#This Row],[Has Parent]]="Yes",Table1[[#This Row],[Unique Domain Qualified Name]]&amp;"--"&amp;Table1[[#This Row],[Parent entity Qualified Name3]]&amp;"--"&amp;Table1[[#This Row],[Child entity qualified name2]],Table1[[#This Row],[Unique Domain Qualified Name]]&amp;"--"&amp;Table1[[#This Row],[Child entity qualified name2]])</f>
        <v>product-asset-management--recipe-update</v>
      </c>
      <c r="F12" s="94" t="s">
        <v>160</v>
      </c>
      <c r="G12" s="33" t="str">
        <f t="shared" si="1"/>
        <v>recipe-update</v>
      </c>
      <c r="H12" s="96" t="s">
        <v>135</v>
      </c>
      <c r="I12" s="96" t="s">
        <v>136</v>
      </c>
      <c r="K12" s="33"/>
      <c r="L12" s="33"/>
      <c r="M12" s="33"/>
      <c r="N12" s="100" t="s">
        <v>161</v>
      </c>
      <c r="O12" s="31"/>
      <c r="P12" s="31"/>
    </row>
  </sheetData>
  <phoneticPr fontId="3" type="noConversion"/>
  <conditionalFormatting sqref="J1:K1 K2 K6 J2:J12">
    <cfRule type="expression" dxfId="11" priority="4">
      <formula>$I1="No"</formula>
    </cfRule>
  </conditionalFormatting>
  <conditionalFormatting sqref="K4:K5">
    <cfRule type="expression" dxfId="10" priority="13">
      <formula>$I3="No"</formula>
    </cfRule>
  </conditionalFormatting>
  <conditionalFormatting sqref="K3">
    <cfRule type="expression" dxfId="9" priority="14">
      <formula>#REF!="No"</formula>
    </cfRule>
  </conditionalFormatting>
  <conditionalFormatting sqref="M4">
    <cfRule type="expression" dxfId="8" priority="3">
      <formula>$I4="No"</formula>
    </cfRule>
  </conditionalFormatting>
  <conditionalFormatting sqref="M5">
    <cfRule type="expression" dxfId="7" priority="2">
      <formula>$I5="No"</formula>
    </cfRule>
  </conditionalFormatting>
  <conditionalFormatting sqref="M9">
    <cfRule type="expression" dxfId="6" priority="1">
      <formula>$I9="No"</formula>
    </cfRule>
  </conditionalFormatting>
  <dataValidations count="7">
    <dataValidation type="list" allowBlank="1" showInputMessage="1" showErrorMessage="1" sqref="H2:I12" xr:uid="{9477104F-B9B7-42B6-9935-2FA48BCD1889}">
      <formula1>"Yes, No"</formula1>
    </dataValidation>
    <dataValidation type="custom" allowBlank="1" showInputMessage="1" showErrorMessage="1" sqref="L4" xr:uid="{084DE511-78F5-4A04-A1FB-45B75A6FE937}">
      <formula1>$I3&lt;&gt;"Yes"</formula1>
    </dataValidation>
    <dataValidation type="custom" allowBlank="1" showInputMessage="1" showErrorMessage="1" sqref="L3" xr:uid="{A662C423-2DCF-46B8-9BCE-079D2FEF1C82}">
      <formula1>#REF!&lt;&gt;"Yes"</formula1>
    </dataValidation>
    <dataValidation type="custom" allowBlank="1" showInputMessage="1" showErrorMessage="1" sqref="L5:L6" xr:uid="{57B225E9-B2A5-404A-A0F3-F18E05BC7842}">
      <formula1>$I5&lt;&gt;"Yes"</formula1>
    </dataValidation>
    <dataValidation allowBlank="1" showInputMessage="1" showErrorMessage="1" sqref="N6" xr:uid="{1583FC1D-07FE-458D-A7F4-C41B23A0106B}"/>
    <dataValidation type="list" allowBlank="1" showInputMessage="1" showErrorMessage="1" sqref="K2:K12" xr:uid="{4C31DD2B-D219-4560-AA71-411059DEFC4A}">
      <formula1>$E$2:$E$12</formula1>
    </dataValidation>
    <dataValidation type="list" allowBlank="1" showInputMessage="1" showErrorMessage="1" sqref="J2:J12 M4:M5 M9" xr:uid="{A4714079-30EA-49AE-985E-58782DC3715C}">
      <formula1>$F$2:$F$12</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0BD9A0B-0729-40B9-AD4C-ABE9CFA922D1}">
          <x14:formula1>
            <xm:f>'1. L1 Data Domains'!$C$2:$C$2</xm:f>
          </x14:formula1>
          <xm:sqref>C1</xm:sqref>
        </x14:dataValidation>
        <x14:dataValidation type="list" allowBlank="1" showInputMessage="1" showErrorMessage="1" xr:uid="{5C3779AB-8D7D-4A9B-A6A7-5682EA556C2C}">
          <x14:formula1>
            <xm:f>'1. L1 Data Domains'!$D:$D</xm:f>
          </x14:formula1>
          <xm:sqref>C2:C12</xm:sqref>
        </x14:dataValidation>
        <x14:dataValidation type="list" allowBlank="1" showInputMessage="1" showErrorMessage="1" xr:uid="{40C99E8F-7751-42AB-86CF-D5D8DB29E738}">
          <x14:formula1>
            <xm:f>'9. Person Table'!$D$2:$D$9</xm:f>
          </x14:formula1>
          <xm:sqref>O2:P12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7DD04-C556-40CF-9BD7-11209734D7BA}">
  <sheetPr codeName="Sheet7"/>
  <dimension ref="A1:O72"/>
  <sheetViews>
    <sheetView topLeftCell="A7" zoomScaleNormal="100" workbookViewId="0">
      <selection activeCell="C21" sqref="C21"/>
    </sheetView>
  </sheetViews>
  <sheetFormatPr defaultRowHeight="14.4" x14ac:dyDescent="0.3"/>
  <cols>
    <col min="1" max="1" width="9.33203125" style="31"/>
    <col min="2" max="2" width="13.33203125" style="31" customWidth="1"/>
    <col min="3" max="3" width="24.109375" style="31" customWidth="1"/>
    <col min="4" max="4" width="66.33203125" style="31" customWidth="1"/>
    <col min="5" max="5" width="31.33203125" style="31" customWidth="1"/>
    <col min="6" max="6" width="29.33203125" style="31" bestFit="1" customWidth="1"/>
    <col min="7" max="7" width="39.33203125" style="31" bestFit="1" customWidth="1"/>
    <col min="8" max="8" width="109.33203125" style="31" bestFit="1" customWidth="1"/>
    <col min="9" max="9" width="171" style="31" bestFit="1" customWidth="1"/>
    <col min="10" max="13" width="26.6640625" style="31" customWidth="1"/>
    <col min="14" max="14" width="32.6640625" style="31" customWidth="1"/>
    <col min="15" max="15" width="42.33203125" style="31" bestFit="1" customWidth="1"/>
  </cols>
  <sheetData>
    <row r="1" spans="2:15" x14ac:dyDescent="0.3">
      <c r="B1" t="s">
        <v>15</v>
      </c>
      <c r="C1" s="30" t="s">
        <v>48</v>
      </c>
      <c r="D1" t="s">
        <v>162</v>
      </c>
      <c r="E1" t="s">
        <v>50</v>
      </c>
      <c r="F1" s="30" t="s">
        <v>163</v>
      </c>
      <c r="G1" s="30" t="s">
        <v>164</v>
      </c>
      <c r="H1" s="30" t="s">
        <v>52</v>
      </c>
      <c r="I1" t="s">
        <v>23</v>
      </c>
      <c r="J1" t="s">
        <v>54</v>
      </c>
      <c r="K1" t="s">
        <v>56</v>
      </c>
      <c r="L1" t="s">
        <v>58</v>
      </c>
      <c r="M1" t="s">
        <v>60</v>
      </c>
      <c r="N1" t="s">
        <v>42</v>
      </c>
      <c r="O1" t="s">
        <v>44</v>
      </c>
    </row>
    <row r="2" spans="2:15" x14ac:dyDescent="0.3">
      <c r="B2">
        <v>1</v>
      </c>
      <c r="C2" s="1" t="s">
        <v>147</v>
      </c>
      <c r="D2" t="s">
        <v>165</v>
      </c>
      <c r="E2" t="s">
        <v>166</v>
      </c>
      <c r="F2" s="18" t="str">
        <f>IF(RIGHT(Table3[[#This Row],[Attribute Name]],1)=" ",LEFT(Table3[[#This Row],[Attribute Name]],(LEN(Table3[[#This Row],[Attribute Name]]))-1),Table3[[#This Row],[Attribute Name]])</f>
        <v>beverage name</v>
      </c>
      <c r="G2" s="2" t="str">
        <f>SUBSTITUTE(SUBSTITUTE(SUBSTITUTE(SUBSTITUTE(LOWER(F2),"&amp;",""),"-",""),"  ","-")," ","-")</f>
        <v>beverage-name</v>
      </c>
      <c r="H2" s="33" t="str">
        <f>IF(Table3[[#This Row],[Unique entity qualified name]]&lt;&gt;"",Table3[[#This Row],[Unique entity qualified name]]&amp;"--"&amp;Table3[[#This Row],[Data attribute qualified name]],"")</f>
        <v>beverage-production--customized-beverage--beverage-name</v>
      </c>
      <c r="I2" s="90" t="s">
        <v>167</v>
      </c>
      <c r="J2" t="s">
        <v>168</v>
      </c>
      <c r="K2"/>
      <c r="L2"/>
      <c r="M2"/>
      <c r="N2"/>
      <c r="O2"/>
    </row>
    <row r="3" spans="2:15" x14ac:dyDescent="0.3">
      <c r="B3">
        <v>2</v>
      </c>
      <c r="C3" s="1" t="s">
        <v>147</v>
      </c>
      <c r="D3" t="s">
        <v>165</v>
      </c>
      <c r="E3" t="s">
        <v>169</v>
      </c>
      <c r="F3" s="18" t="str">
        <f>IF(RIGHT(Table3[[#This Row],[Attribute Name]],1)=" ",LEFT(Table3[[#This Row],[Attribute Name]],(LEN(Table3[[#This Row],[Attribute Name]]))-1),Table3[[#This Row],[Attribute Name]])</f>
        <v>volume</v>
      </c>
      <c r="G3" s="2" t="str">
        <f t="shared" ref="G3:G5" si="0">SUBSTITUTE(SUBSTITUTE(SUBSTITUTE(SUBSTITUTE(LOWER(F3),"&amp;",""),"-",""),"  ","-")," ","-")</f>
        <v>volume</v>
      </c>
      <c r="H3" s="33" t="str">
        <f>IF(Table3[[#This Row],[Unique entity qualified name]]&lt;&gt;"",Table3[[#This Row],[Unique entity qualified name]]&amp;"--"&amp;Table3[[#This Row],[Data attribute qualified name]],"")</f>
        <v>beverage-production--customized-beverage--volume</v>
      </c>
      <c r="I3" s="90" t="s">
        <v>170</v>
      </c>
      <c r="J3" t="s">
        <v>168</v>
      </c>
      <c r="K3"/>
      <c r="L3"/>
      <c r="M3"/>
      <c r="N3"/>
      <c r="O3"/>
    </row>
    <row r="4" spans="2:15" x14ac:dyDescent="0.3">
      <c r="B4">
        <v>3</v>
      </c>
      <c r="C4" s="1" t="s">
        <v>144</v>
      </c>
      <c r="D4" t="s">
        <v>171</v>
      </c>
      <c r="E4" t="s">
        <v>172</v>
      </c>
      <c r="F4" s="18" t="str">
        <f>IF(RIGHT(Table3[[#This Row],[Attribute Name]],1)=" ",LEFT(Table3[[#This Row],[Attribute Name]],(LEN(Table3[[#This Row],[Attribute Name]]))-1),Table3[[#This Row],[Attribute Name]])</f>
        <v>ml</v>
      </c>
      <c r="G4" s="2" t="str">
        <f t="shared" si="0"/>
        <v>ml</v>
      </c>
      <c r="H4" s="33" t="str">
        <f>IF(Table3[[#This Row],[Unique entity qualified name]]&lt;&gt;"",Table3[[#This Row],[Unique entity qualified name]]&amp;"--"&amp;Table3[[#This Row],[Data attribute qualified name]],"")</f>
        <v>coffee-machine----machine-recipe--ml</v>
      </c>
      <c r="I4" s="91" t="s">
        <v>173</v>
      </c>
      <c r="J4" t="s">
        <v>174</v>
      </c>
      <c r="K4"/>
      <c r="L4"/>
      <c r="M4"/>
      <c r="N4"/>
      <c r="O4"/>
    </row>
    <row r="5" spans="2:15" x14ac:dyDescent="0.3">
      <c r="B5">
        <v>4</v>
      </c>
      <c r="C5" s="1" t="s">
        <v>147</v>
      </c>
      <c r="D5" t="s">
        <v>165</v>
      </c>
      <c r="E5" t="s">
        <v>175</v>
      </c>
      <c r="F5" s="18" t="str">
        <f>IF(RIGHT(Table3[[#This Row],[Attribute Name]],1)=" ",LEFT(Table3[[#This Row],[Attribute Name]],(LEN(Table3[[#This Row],[Attribute Name]]))-1),Table3[[#This Row],[Attribute Name]])</f>
        <v>strength</v>
      </c>
      <c r="G5" s="2" t="str">
        <f t="shared" si="0"/>
        <v>strength</v>
      </c>
      <c r="H5" s="33" t="str">
        <f>IF(Table3[[#This Row],[Unique entity qualified name]]&lt;&gt;"",Table3[[#This Row],[Unique entity qualified name]]&amp;"--"&amp;Table3[[#This Row],[Data attribute qualified name]],"")</f>
        <v>beverage-production--customized-beverage--strength</v>
      </c>
      <c r="I5" s="90" t="s">
        <v>176</v>
      </c>
      <c r="J5" t="s">
        <v>174</v>
      </c>
      <c r="K5"/>
      <c r="L5"/>
      <c r="M5"/>
      <c r="N5"/>
      <c r="O5"/>
    </row>
    <row r="6" spans="2:15" x14ac:dyDescent="0.3">
      <c r="B6">
        <v>5</v>
      </c>
      <c r="C6" s="1" t="s">
        <v>147</v>
      </c>
      <c r="D6" t="s">
        <v>165</v>
      </c>
      <c r="E6" t="s">
        <v>177</v>
      </c>
      <c r="F6" s="18" t="str">
        <f>IF(RIGHT(Table3[[#This Row],[Attribute Name]],1)=" ",LEFT(Table3[[#This Row],[Attribute Name]],(LEN(Table3[[#This Row],[Attribute Name]]))-1),Table3[[#This Row],[Attribute Name]])</f>
        <v>estimated brewing time</v>
      </c>
      <c r="G6" s="2" t="str">
        <f t="shared" ref="G6:G15" si="1">SUBSTITUTE(SUBSTITUTE(SUBSTITUTE(SUBSTITUTE(LOWER(F6),"&amp;",""),"-",""),"  ","-")," ","-")</f>
        <v>estimated-brewing-time</v>
      </c>
      <c r="H6" s="33" t="str">
        <f>IF(Table3[[#This Row],[Unique entity qualified name]]&lt;&gt;"",Table3[[#This Row],[Unique entity qualified name]]&amp;"--"&amp;Table3[[#This Row],[Data attribute qualified name]],"")</f>
        <v>beverage-production--customized-beverage--estimated-brewing-time</v>
      </c>
      <c r="I6" s="90" t="s">
        <v>178</v>
      </c>
      <c r="J6" t="s">
        <v>174</v>
      </c>
      <c r="K6"/>
      <c r="L6"/>
      <c r="M6"/>
      <c r="N6"/>
      <c r="O6"/>
    </row>
    <row r="7" spans="2:15" x14ac:dyDescent="0.3">
      <c r="B7">
        <v>6</v>
      </c>
      <c r="C7" s="1" t="s">
        <v>147</v>
      </c>
      <c r="D7" t="s">
        <v>165</v>
      </c>
      <c r="E7" t="s">
        <v>179</v>
      </c>
      <c r="F7" s="18" t="str">
        <f>IF(RIGHT(Table3[[#This Row],[Attribute Name]],1)=" ",LEFT(Table3[[#This Row],[Attribute Name]],(LEN(Table3[[#This Row],[Attribute Name]]))-1),Table3[[#This Row],[Attribute Name]])</f>
        <v>sugar</v>
      </c>
      <c r="G7" s="2" t="str">
        <f>SUBSTITUTE(SUBSTITUTE(SUBSTITUTE(SUBSTITUTE(LOWER(F7),"&amp;",""),"-",""),"  ","-")," ","-")</f>
        <v>sugar</v>
      </c>
      <c r="H7" s="33" t="str">
        <f>IF(Table3[[#This Row],[Unique entity qualified name]]&lt;&gt;"",Table3[[#This Row],[Unique entity qualified name]]&amp;"--"&amp;Table3[[#This Row],[Data attribute qualified name]],"")</f>
        <v>beverage-production--customized-beverage--sugar</v>
      </c>
      <c r="I7" s="90" t="s">
        <v>180</v>
      </c>
      <c r="J7" t="s">
        <v>174</v>
      </c>
      <c r="K7"/>
      <c r="L7"/>
      <c r="M7"/>
      <c r="N7"/>
      <c r="O7"/>
    </row>
    <row r="8" spans="2:15" x14ac:dyDescent="0.3">
      <c r="B8">
        <v>7</v>
      </c>
      <c r="C8" s="1" t="s">
        <v>147</v>
      </c>
      <c r="D8" t="s">
        <v>165</v>
      </c>
      <c r="E8" t="s">
        <v>181</v>
      </c>
      <c r="F8" s="18" t="str">
        <f>IF(RIGHT(Table3[[#This Row],[Attribute Name]],1)=" ",LEFT(Table3[[#This Row],[Attribute Name]],(LEN(Table3[[#This Row],[Attribute Name]]))-1),Table3[[#This Row],[Attribute Name]])</f>
        <v>topping</v>
      </c>
      <c r="G8" s="2" t="str">
        <f t="shared" ref="G8" si="2">SUBSTITUTE(SUBSTITUTE(SUBSTITUTE(SUBSTITUTE(LOWER(F8),"&amp;",""),"-",""),"  ","-")," ","-")</f>
        <v>topping</v>
      </c>
      <c r="H8" s="33" t="str">
        <f>IF(Table3[[#This Row],[Unique entity qualified name]]&lt;&gt;"",Table3[[#This Row],[Unique entity qualified name]]&amp;"--"&amp;Table3[[#This Row],[Data attribute qualified name]],"")</f>
        <v>beverage-production--customized-beverage--topping</v>
      </c>
      <c r="I8" s="90" t="s">
        <v>182</v>
      </c>
      <c r="J8" t="s">
        <v>174</v>
      </c>
      <c r="K8"/>
      <c r="L8"/>
      <c r="M8"/>
      <c r="N8"/>
      <c r="O8"/>
    </row>
    <row r="9" spans="2:15" x14ac:dyDescent="0.3">
      <c r="B9">
        <v>8</v>
      </c>
      <c r="C9" s="1" t="s">
        <v>149</v>
      </c>
      <c r="D9" t="s">
        <v>183</v>
      </c>
      <c r="E9" t="s">
        <v>184</v>
      </c>
      <c r="F9" s="18" t="str">
        <f>IF(RIGHT(Table3[[#This Row],[Attribute Name]],1)=" ",LEFT(Table3[[#This Row],[Attribute Name]],(LEN(Table3[[#This Row],[Attribute Name]]))-1),Table3[[#This Row],[Attribute Name]])</f>
        <v>small</v>
      </c>
      <c r="G9" s="2" t="str">
        <f>SUBSTITUTE(SUBSTITUTE(SUBSTITUTE(SUBSTITUTE(LOWER(F9),"&amp;",""),"-",""),"  ","-")," ","-")</f>
        <v>small</v>
      </c>
      <c r="H9" s="33" t="str">
        <f>IF(Table3[[#This Row],[Unique entity qualified name]]&lt;&gt;"",Table3[[#This Row],[Unique entity qualified name]]&amp;"--"&amp;Table3[[#This Row],[Data attribute qualified name]],"")</f>
        <v>beverage-production--consumption-records--small</v>
      </c>
      <c r="I9" s="90" t="s">
        <v>185</v>
      </c>
      <c r="J9" t="s">
        <v>174</v>
      </c>
      <c r="K9"/>
      <c r="L9"/>
      <c r="M9"/>
      <c r="N9"/>
      <c r="O9"/>
    </row>
    <row r="10" spans="2:15" x14ac:dyDescent="0.3">
      <c r="B10">
        <v>9</v>
      </c>
      <c r="C10" s="1" t="s">
        <v>149</v>
      </c>
      <c r="D10" t="s">
        <v>183</v>
      </c>
      <c r="E10" t="s">
        <v>186</v>
      </c>
      <c r="F10" s="18" t="str">
        <f>IF(RIGHT(Table3[[#This Row],[Attribute Name]],1)=" ",LEFT(Table3[[#This Row],[Attribute Name]],(LEN(Table3[[#This Row],[Attribute Name]]))-1),Table3[[#This Row],[Attribute Name]])</f>
        <v>medium</v>
      </c>
      <c r="G10" s="2" t="str">
        <f t="shared" ref="G10" si="3">SUBSTITUTE(SUBSTITUTE(SUBSTITUTE(SUBSTITUTE(LOWER(F10),"&amp;",""),"-",""),"  ","-")," ","-")</f>
        <v>medium</v>
      </c>
      <c r="H10" s="33" t="str">
        <f>IF(Table3[[#This Row],[Unique entity qualified name]]&lt;&gt;"",Table3[[#This Row],[Unique entity qualified name]]&amp;"--"&amp;Table3[[#This Row],[Data attribute qualified name]],"")</f>
        <v>beverage-production--consumption-records--medium</v>
      </c>
      <c r="I10" s="90" t="s">
        <v>187</v>
      </c>
      <c r="J10" t="s">
        <v>174</v>
      </c>
      <c r="K10"/>
      <c r="L10"/>
      <c r="M10"/>
      <c r="N10"/>
      <c r="O10"/>
    </row>
    <row r="11" spans="2:15" x14ac:dyDescent="0.3">
      <c r="B11">
        <v>10</v>
      </c>
      <c r="C11" s="1" t="s">
        <v>149</v>
      </c>
      <c r="D11" t="s">
        <v>183</v>
      </c>
      <c r="E11" t="s">
        <v>188</v>
      </c>
      <c r="F11" s="18" t="str">
        <f>IF(RIGHT(Table3[[#This Row],[Attribute Name]],1)=" ",LEFT(Table3[[#This Row],[Attribute Name]],(LEN(Table3[[#This Row],[Attribute Name]]))-1),Table3[[#This Row],[Attribute Name]])</f>
        <v>large</v>
      </c>
      <c r="G11" s="2" t="str">
        <f t="shared" si="1"/>
        <v>large</v>
      </c>
      <c r="H11" s="33" t="str">
        <f>IF(Table3[[#This Row],[Unique entity qualified name]]&lt;&gt;"",Table3[[#This Row],[Unique entity qualified name]]&amp;"--"&amp;Table3[[#This Row],[Data attribute qualified name]],"")</f>
        <v>beverage-production--consumption-records--large</v>
      </c>
      <c r="I11" s="90" t="s">
        <v>189</v>
      </c>
      <c r="J11" t="s">
        <v>174</v>
      </c>
      <c r="K11"/>
      <c r="L11"/>
      <c r="M11"/>
      <c r="N11"/>
      <c r="O11" s="92"/>
    </row>
    <row r="12" spans="2:15" x14ac:dyDescent="0.3">
      <c r="B12">
        <v>11</v>
      </c>
      <c r="C12" s="1" t="s">
        <v>149</v>
      </c>
      <c r="D12" t="s">
        <v>183</v>
      </c>
      <c r="E12" t="s">
        <v>190</v>
      </c>
      <c r="F12" s="18" t="str">
        <f>IF(RIGHT(Table3[[#This Row],[Attribute Name]],1)=" ",LEFT(Table3[[#This Row],[Attribute Name]],(LEN(Table3[[#This Row],[Attribute Name]]))-1),Table3[[#This Row],[Attribute Name]])</f>
        <v>total consumption</v>
      </c>
      <c r="G12" s="2" t="str">
        <f t="shared" si="1"/>
        <v>total-consumption</v>
      </c>
      <c r="H12" s="33" t="str">
        <f>IF(Table3[[#This Row],[Unique entity qualified name]]&lt;&gt;"",Table3[[#This Row],[Unique entity qualified name]]&amp;"--"&amp;Table3[[#This Row],[Data attribute qualified name]],"")</f>
        <v>beverage-production--consumption-records--total-consumption</v>
      </c>
      <c r="I12" s="90" t="s">
        <v>191</v>
      </c>
      <c r="J12" t="s">
        <v>174</v>
      </c>
      <c r="K12"/>
      <c r="L12"/>
      <c r="M12"/>
      <c r="N12"/>
      <c r="O12"/>
    </row>
    <row r="13" spans="2:15" x14ac:dyDescent="0.3">
      <c r="B13">
        <v>12</v>
      </c>
      <c r="C13" s="1" t="s">
        <v>134</v>
      </c>
      <c r="D13" t="s">
        <v>192</v>
      </c>
      <c r="E13" t="s">
        <v>193</v>
      </c>
      <c r="F13" s="18" t="str">
        <f>IF(RIGHT(Table3[[#This Row],[Attribute Name]],1)=" ",LEFT(Table3[[#This Row],[Attribute Name]],(LEN(Table3[[#This Row],[Attribute Name]]))-1),Table3[[#This Row],[Attribute Name]])</f>
        <v>active notifications</v>
      </c>
      <c r="G13" s="2" t="str">
        <f t="shared" si="1"/>
        <v>active-notifications</v>
      </c>
      <c r="H13" s="33" t="str">
        <f>IF(Table3[[#This Row],[Unique entity qualified name]]&lt;&gt;"",Table3[[#This Row],[Unique entity qualified name]]&amp;"--"&amp;Table3[[#This Row],[Data attribute qualified name]],"")</f>
        <v>coffee-machine--machine-events--active-notifications</v>
      </c>
      <c r="I13" s="90" t="s">
        <v>194</v>
      </c>
      <c r="J13" t="s">
        <v>195</v>
      </c>
      <c r="K13"/>
      <c r="L13"/>
      <c r="M13"/>
      <c r="N13"/>
      <c r="O13"/>
    </row>
    <row r="14" spans="2:15" x14ac:dyDescent="0.3">
      <c r="B14">
        <v>13</v>
      </c>
      <c r="C14" s="1" t="s">
        <v>138</v>
      </c>
      <c r="D14" t="s">
        <v>196</v>
      </c>
      <c r="E14" t="s">
        <v>197</v>
      </c>
      <c r="F14" s="18" t="str">
        <f>IF(RIGHT(Table3[[#This Row],[Attribute Name]],1)=" ",LEFT(Table3[[#This Row],[Attribute Name]],(LEN(Table3[[#This Row],[Attribute Name]]))-1),Table3[[#This Row],[Attribute Name]])</f>
        <v>latched notifications</v>
      </c>
      <c r="G14" s="2" t="str">
        <f t="shared" si="1"/>
        <v>latched-notifications</v>
      </c>
      <c r="H14" s="33" t="str">
        <f>IF(Table3[[#This Row],[Unique entity qualified name]]&lt;&gt;"",Table3[[#This Row],[Unique entity qualified name]]&amp;"--"&amp;Table3[[#This Row],[Data attribute qualified name]],"")</f>
        <v>coffee-machine--machine-state--latched-notifications</v>
      </c>
      <c r="I14" s="90" t="s">
        <v>198</v>
      </c>
      <c r="J14" t="s">
        <v>195</v>
      </c>
      <c r="K14"/>
      <c r="L14"/>
      <c r="M14"/>
      <c r="N14"/>
      <c r="O14"/>
    </row>
    <row r="15" spans="2:15" x14ac:dyDescent="0.3">
      <c r="B15">
        <v>14</v>
      </c>
      <c r="C15" s="1" t="s">
        <v>134</v>
      </c>
      <c r="D15" t="s">
        <v>192</v>
      </c>
      <c r="E15" t="s">
        <v>199</v>
      </c>
      <c r="F15" s="18" t="str">
        <f>IF(RIGHT(Table3[[#This Row],[Attribute Name]],1)=" ",LEFT(Table3[[#This Row],[Attribute Name]],(LEN(Table3[[#This Row],[Attribute Name]]))-1),Table3[[#This Row],[Attribute Name]])</f>
        <v>event ID</v>
      </c>
      <c r="G15" s="2" t="str">
        <f t="shared" si="1"/>
        <v>event-id</v>
      </c>
      <c r="H15" s="33" t="str">
        <f>IF(Table3[[#This Row],[Unique entity qualified name]]&lt;&gt;"",Table3[[#This Row],[Unique entity qualified name]]&amp;"--"&amp;Table3[[#This Row],[Data attribute qualified name]],"")</f>
        <v>coffee-machine--machine-events--event-id</v>
      </c>
      <c r="I15" s="90" t="s">
        <v>200</v>
      </c>
      <c r="J15" t="s">
        <v>195</v>
      </c>
      <c r="K15"/>
      <c r="L15"/>
      <c r="M15"/>
      <c r="N15"/>
      <c r="O15"/>
    </row>
    <row r="16" spans="2:15" x14ac:dyDescent="0.3">
      <c r="B16">
        <v>15</v>
      </c>
      <c r="C16" s="1" t="s">
        <v>134</v>
      </c>
      <c r="D16" t="s">
        <v>192</v>
      </c>
      <c r="E16" t="s">
        <v>201</v>
      </c>
      <c r="F16" s="18" t="str">
        <f>IF(RIGHT(Table3[[#This Row],[Attribute Name]],1)=" ",LEFT(Table3[[#This Row],[Attribute Name]],(LEN(Table3[[#This Row],[Attribute Name]]))-1),Table3[[#This Row],[Attribute Name]])</f>
        <v>action</v>
      </c>
      <c r="G16" s="2" t="str">
        <f t="shared" ref="G16:G17" si="4">SUBSTITUTE(SUBSTITUTE(SUBSTITUTE(SUBSTITUTE(LOWER(F16),"&amp;",""),"-",""),"  ","-")," ","-")</f>
        <v>action</v>
      </c>
      <c r="H16" s="33" t="str">
        <f>IF(Table3[[#This Row],[Unique entity qualified name]]&lt;&gt;"",Table3[[#This Row],[Unique entity qualified name]]&amp;"--"&amp;Table3[[#This Row],[Data attribute qualified name]],"")</f>
        <v>coffee-machine--machine-events--action</v>
      </c>
      <c r="I16" s="90" t="s">
        <v>202</v>
      </c>
      <c r="J16" t="s">
        <v>168</v>
      </c>
      <c r="K16"/>
      <c r="L16"/>
      <c r="M16"/>
      <c r="N16"/>
      <c r="O16"/>
    </row>
    <row r="17" spans="2:15" x14ac:dyDescent="0.3">
      <c r="B17">
        <v>16</v>
      </c>
      <c r="C17" s="1" t="s">
        <v>134</v>
      </c>
      <c r="D17" t="s">
        <v>192</v>
      </c>
      <c r="E17" t="s">
        <v>203</v>
      </c>
      <c r="F17" s="35" t="str">
        <f>IF(RIGHT(Table3[[#This Row],[Attribute Name]],1)=" ",LEFT(Table3[[#This Row],[Attribute Name]],(LEN(Table3[[#This Row],[Attribute Name]]))-1),Table3[[#This Row],[Attribute Name]])</f>
        <v>notification metadata</v>
      </c>
      <c r="G17" s="36" t="str">
        <f t="shared" si="4"/>
        <v>notification-metadata</v>
      </c>
      <c r="H17" s="33" t="str">
        <f>IF(Table3[[#This Row],[Unique entity qualified name]]&lt;&gt;"",Table3[[#This Row],[Unique entity qualified name]]&amp;"--"&amp;Table3[[#This Row],[Data attribute qualified name]],"")</f>
        <v>coffee-machine--machine-events--notification-metadata</v>
      </c>
      <c r="I17" s="90" t="s">
        <v>204</v>
      </c>
      <c r="J17" t="s">
        <v>168</v>
      </c>
      <c r="K17"/>
      <c r="L17"/>
      <c r="M17"/>
      <c r="N17"/>
      <c r="O17"/>
    </row>
    <row r="18" spans="2:15" x14ac:dyDescent="0.3">
      <c r="B18">
        <v>17</v>
      </c>
      <c r="C18" s="84" t="s">
        <v>144</v>
      </c>
      <c r="D18" t="s">
        <v>171</v>
      </c>
      <c r="E18" s="85" t="s">
        <v>205</v>
      </c>
      <c r="F18" s="18" t="str">
        <f>IF(RIGHT(Table3[[#This Row],[Attribute Name]],1)=" ",LEFT(Table3[[#This Row],[Attribute Name]],(LEN(Table3[[#This Row],[Attribute Name]]))-1),Table3[[#This Row],[Attribute Name]])</f>
        <v>procedure name</v>
      </c>
      <c r="G18" s="2" t="str">
        <f>SUBSTITUTE(SUBSTITUTE(SUBSTITUTE(SUBSTITUTE(LOWER(F18),"&amp;",""),"-",""),"  ","-")," ","-")</f>
        <v>procedure-name</v>
      </c>
      <c r="H18" s="33" t="str">
        <f>IF(Table3[[#This Row],[Unique entity qualified name]]&lt;&gt;"",Table3[[#This Row],[Unique entity qualified name]]&amp;"--"&amp;Table3[[#This Row],[Data attribute qualified name]],"")</f>
        <v>coffee-machine----machine-recipe--procedure-name</v>
      </c>
      <c r="I18" s="90" t="s">
        <v>206</v>
      </c>
      <c r="J18" s="83" t="s">
        <v>168</v>
      </c>
      <c r="K18" s="83"/>
      <c r="L18" s="83"/>
      <c r="M18" s="83"/>
      <c r="N18" s="83"/>
      <c r="O18" s="83"/>
    </row>
    <row r="19" spans="2:15" x14ac:dyDescent="0.3">
      <c r="B19">
        <v>18</v>
      </c>
      <c r="C19" s="81" t="s">
        <v>144</v>
      </c>
      <c r="D19" s="31" t="s">
        <v>171</v>
      </c>
      <c r="E19" s="82" t="s">
        <v>207</v>
      </c>
      <c r="F19" s="18" t="str">
        <f>IF(RIGHT(Table3[[#This Row],[Attribute Name]],1)=" ",LEFT(Table3[[#This Row],[Attribute Name]],(LEN(Table3[[#This Row],[Attribute Name]]))-1),Table3[[#This Row],[Attribute Name]])</f>
        <v>estimated procedure time</v>
      </c>
      <c r="G19" s="2" t="str">
        <f t="shared" ref="G19" si="5">SUBSTITUTE(SUBSTITUTE(SUBSTITUTE(SUBSTITUTE(LOWER(F19),"&amp;",""),"-",""),"  ","-")," ","-")</f>
        <v>estimated-procedure-time</v>
      </c>
      <c r="H19" s="33" t="str">
        <f>IF(Table3[[#This Row],[Unique entity qualified name]]&lt;&gt;"",Table3[[#This Row],[Unique entity qualified name]]&amp;"--"&amp;Table3[[#This Row],[Data attribute qualified name]],"")</f>
        <v>coffee-machine----machine-recipe--estimated-procedure-time</v>
      </c>
      <c r="I19" s="90" t="s">
        <v>208</v>
      </c>
      <c r="J19" s="1" t="s">
        <v>174</v>
      </c>
      <c r="K19" s="1"/>
      <c r="L19" s="1"/>
      <c r="M19" s="1"/>
      <c r="N19" s="1"/>
      <c r="O19" s="1"/>
    </row>
    <row r="20" spans="2:15" x14ac:dyDescent="0.3">
      <c r="B20">
        <v>19</v>
      </c>
      <c r="C20" s="84" t="s">
        <v>144</v>
      </c>
      <c r="D20" s="31" t="s">
        <v>171</v>
      </c>
      <c r="E20" s="85" t="s">
        <v>209</v>
      </c>
      <c r="F20" s="88" t="str">
        <f>IF(RIGHT(Table3[[#This Row],[Attribute Name]],1)=" ",LEFT(Table3[[#This Row],[Attribute Name]],(LEN(Table3[[#This Row],[Attribute Name]]))-1),Table3[[#This Row],[Attribute Name]])</f>
        <v>wait</v>
      </c>
      <c r="G20" s="2" t="str">
        <f>SUBSTITUTE(SUBSTITUTE(SUBSTITUTE(SUBSTITUTE(LOWER(F20),"&amp;",""),"-",""),"  ","-")," ","-")</f>
        <v>wait</v>
      </c>
      <c r="H20" s="108" t="str">
        <f>IF(Table3[[#This Row],[Unique entity qualified name]]&lt;&gt;"",Table3[[#This Row],[Unique entity qualified name]]&amp;"--"&amp;Table3[[#This Row],[Data attribute qualified name]],"")</f>
        <v>coffee-machine----machine-recipe--wait</v>
      </c>
      <c r="I20" s="90" t="s">
        <v>210</v>
      </c>
      <c r="J20" s="83" t="s">
        <v>174</v>
      </c>
      <c r="K20" s="83"/>
      <c r="L20" s="83"/>
      <c r="M20" s="83"/>
      <c r="N20" s="83"/>
      <c r="O20" s="83"/>
    </row>
    <row r="21" spans="2:15" x14ac:dyDescent="0.3">
      <c r="B21">
        <v>20</v>
      </c>
      <c r="C21" s="84" t="s">
        <v>140</v>
      </c>
      <c r="D21" s="31" t="s">
        <v>211</v>
      </c>
      <c r="E21" s="85" t="s">
        <v>212</v>
      </c>
      <c r="F21" s="88" t="str">
        <f>IF(RIGHT(Table3[[#This Row],[Attribute Name]],1)=" ",LEFT(Table3[[#This Row],[Attribute Name]],(LEN(Table3[[#This Row],[Attribute Name]]))-1),Table3[[#This Row],[Attribute Name]])</f>
        <v>grinder channel ID</v>
      </c>
      <c r="G21" s="2" t="str">
        <f>SUBSTITUTE(SUBSTITUTE(SUBSTITUTE(SUBSTITUTE(LOWER(F21),"&amp;",""),"-",""),"  ","-")," ","-")</f>
        <v>grinder-channel-id</v>
      </c>
      <c r="H21" s="108" t="str">
        <f>IF(Table3[[#This Row],[Unique entity qualified name]]&lt;&gt;"",Table3[[#This Row],[Unique entity qualified name]]&amp;"--"&amp;Table3[[#This Row],[Data attribute qualified name]],"")</f>
        <v>coffee-machine----grinder-control--grinder-channel-id</v>
      </c>
      <c r="I21" s="90" t="s">
        <v>213</v>
      </c>
      <c r="J21" s="83" t="s">
        <v>174</v>
      </c>
      <c r="K21" s="83"/>
      <c r="L21" s="83"/>
      <c r="M21" s="83"/>
      <c r="N21" s="83"/>
      <c r="O21" s="83"/>
    </row>
    <row r="22" spans="2:15" x14ac:dyDescent="0.3">
      <c r="B22">
        <v>21</v>
      </c>
      <c r="C22" s="84" t="s">
        <v>140</v>
      </c>
      <c r="D22" s="31" t="s">
        <v>211</v>
      </c>
      <c r="E22" s="85" t="s">
        <v>214</v>
      </c>
      <c r="F22" s="88" t="str">
        <f>IF(RIGHT(Table3[[#This Row],[Attribute Name]],1)=" ",LEFT(Table3[[#This Row],[Attribute Name]],(LEN(Table3[[#This Row],[Attribute Name]]))-1),Table3[[#This Row],[Attribute Name]])</f>
        <v>grinder calibration date</v>
      </c>
      <c r="G22" s="2" t="str">
        <f>SUBSTITUTE(SUBSTITUTE(SUBSTITUTE(SUBSTITUTE(LOWER(F22),"&amp;",""),"-",""),"  ","-")," ","-")</f>
        <v>grinder-calibration-date</v>
      </c>
      <c r="H22" s="108" t="str">
        <f>IF(Table3[[#This Row],[Unique entity qualified name]]&lt;&gt;"",Table3[[#This Row],[Unique entity qualified name]]&amp;"--"&amp;Table3[[#This Row],[Data attribute qualified name]],"")</f>
        <v>coffee-machine----grinder-control--grinder-calibration-date</v>
      </c>
      <c r="I22" s="90" t="s">
        <v>215</v>
      </c>
      <c r="J22" s="83" t="s">
        <v>4</v>
      </c>
      <c r="K22" s="83"/>
      <c r="L22" s="83"/>
      <c r="M22" s="83"/>
      <c r="N22" s="83"/>
      <c r="O22" s="83"/>
    </row>
    <row r="23" spans="2:15" x14ac:dyDescent="0.3">
      <c r="B23">
        <v>22</v>
      </c>
      <c r="C23" s="81" t="s">
        <v>140</v>
      </c>
      <c r="D23" s="105" t="s">
        <v>211</v>
      </c>
      <c r="E23" s="82" t="s">
        <v>216</v>
      </c>
      <c r="F23" s="88" t="str">
        <f>IF(RIGHT(Table3[[#This Row],[Attribute Name]],1)=" ",LEFT(Table3[[#This Row],[Attribute Name]],(LEN(Table3[[#This Row],[Attribute Name]]))-1),Table3[[#This Row],[Attribute Name]])</f>
        <v>grinder ingredient ID</v>
      </c>
      <c r="G23" s="2" t="str">
        <f t="shared" ref="G23:G54" si="6">SUBSTITUTE(SUBSTITUTE(SUBSTITUTE(SUBSTITUTE(LOWER(F23),"&amp;",""),"-",""),"  ","-")," ","-")</f>
        <v>grinder-ingredient-id</v>
      </c>
      <c r="H23" s="33" t="str">
        <f>IF(Table3[[#This Row],[Unique entity qualified name]]&lt;&gt;"",Table3[[#This Row],[Unique entity qualified name]]&amp;"--"&amp;Table3[[#This Row],[Data attribute qualified name]],"")</f>
        <v>coffee-machine----grinder-control--grinder-ingredient-id</v>
      </c>
      <c r="I23" s="106" t="s">
        <v>217</v>
      </c>
      <c r="J23" s="82" t="s">
        <v>168</v>
      </c>
      <c r="K23" s="1"/>
      <c r="L23" s="1"/>
      <c r="M23" s="1"/>
      <c r="N23" s="1"/>
      <c r="O23" s="1"/>
    </row>
    <row r="24" spans="2:15" x14ac:dyDescent="0.3">
      <c r="B24">
        <v>23</v>
      </c>
      <c r="C24" s="81" t="s">
        <v>140</v>
      </c>
      <c r="D24" s="105" t="s">
        <v>211</v>
      </c>
      <c r="E24" s="82" t="s">
        <v>218</v>
      </c>
      <c r="F24" s="88" t="str">
        <f>IF(RIGHT(Table3[[#This Row],[Attribute Name]],1)=" ",LEFT(Table3[[#This Row],[Attribute Name]],(LEN(Table3[[#This Row],[Attribute Name]]))-1),Table3[[#This Row],[Attribute Name]])</f>
        <v>component mapping</v>
      </c>
      <c r="G24" s="2" t="str">
        <f t="shared" si="6"/>
        <v>component-mapping</v>
      </c>
      <c r="H24" s="33" t="str">
        <f>IF(Table3[[#This Row],[Unique entity qualified name]]&lt;&gt;"",Table3[[#This Row],[Unique entity qualified name]]&amp;"--"&amp;Table3[[#This Row],[Data attribute qualified name]],"")</f>
        <v>coffee-machine----grinder-control--component-mapping</v>
      </c>
      <c r="I24" s="106" t="s">
        <v>219</v>
      </c>
      <c r="J24" s="82" t="s">
        <v>168</v>
      </c>
      <c r="K24" s="1"/>
      <c r="L24" s="1"/>
      <c r="M24" s="1"/>
      <c r="N24" s="1"/>
      <c r="O24" s="1"/>
    </row>
    <row r="25" spans="2:15" x14ac:dyDescent="0.3">
      <c r="B25">
        <v>24</v>
      </c>
      <c r="C25" s="81" t="s">
        <v>140</v>
      </c>
      <c r="D25" s="105" t="s">
        <v>211</v>
      </c>
      <c r="E25" s="82" t="s">
        <v>220</v>
      </c>
      <c r="F25" s="88" t="str">
        <f>IF(RIGHT(Table3[[#This Row],[Attribute Name]],1)=" ",LEFT(Table3[[#This Row],[Attribute Name]],(LEN(Table3[[#This Row],[Attribute Name]]))-1),Table3[[#This Row],[Attribute Name]])</f>
        <v>grinder position number</v>
      </c>
      <c r="G25" s="2" t="str">
        <f t="shared" si="6"/>
        <v>grinder-position-number</v>
      </c>
      <c r="H25" s="33" t="str">
        <f>IF(Table3[[#This Row],[Unique entity qualified name]]&lt;&gt;"",Table3[[#This Row],[Unique entity qualified name]]&amp;"--"&amp;Table3[[#This Row],[Data attribute qualified name]],"")</f>
        <v>coffee-machine----grinder-control--grinder-position-number</v>
      </c>
      <c r="I25" s="106" t="s">
        <v>221</v>
      </c>
      <c r="J25" s="82" t="s">
        <v>174</v>
      </c>
      <c r="K25" s="1"/>
      <c r="L25" s="1"/>
      <c r="M25" s="1"/>
      <c r="N25" s="1"/>
      <c r="O25" s="1"/>
    </row>
    <row r="26" spans="2:15" x14ac:dyDescent="0.3">
      <c r="B26">
        <v>25</v>
      </c>
      <c r="C26" s="81" t="s">
        <v>140</v>
      </c>
      <c r="D26" s="105" t="s">
        <v>211</v>
      </c>
      <c r="E26" s="82" t="s">
        <v>222</v>
      </c>
      <c r="F26" s="88" t="str">
        <f>IF(RIGHT(Table3[[#This Row],[Attribute Name]],1)=" ",LEFT(Table3[[#This Row],[Attribute Name]],(LEN(Table3[[#This Row],[Attribute Name]]))-1),Table3[[#This Row],[Attribute Name]])</f>
        <v>grinder label</v>
      </c>
      <c r="G26" s="2" t="str">
        <f t="shared" si="6"/>
        <v>grinder-label</v>
      </c>
      <c r="H26" s="33" t="str">
        <f>IF(Table3[[#This Row],[Unique entity qualified name]]&lt;&gt;"",Table3[[#This Row],[Unique entity qualified name]]&amp;"--"&amp;Table3[[#This Row],[Data attribute qualified name]],"")</f>
        <v>coffee-machine----grinder-control--grinder-label</v>
      </c>
      <c r="I26" s="106" t="s">
        <v>223</v>
      </c>
      <c r="J26" s="82" t="s">
        <v>168</v>
      </c>
      <c r="K26" s="1"/>
      <c r="L26" s="1"/>
      <c r="M26" s="1"/>
      <c r="N26" s="1"/>
      <c r="O26" s="1"/>
    </row>
    <row r="27" spans="2:15" x14ac:dyDescent="0.3">
      <c r="B27">
        <v>26</v>
      </c>
      <c r="C27" s="81" t="s">
        <v>154</v>
      </c>
      <c r="D27" s="105" t="s">
        <v>224</v>
      </c>
      <c r="E27" s="82" t="s">
        <v>225</v>
      </c>
      <c r="F27" s="88" t="str">
        <f>IF(RIGHT(Table3[[#This Row],[Attribute Name]],1)=" ",LEFT(Table3[[#This Row],[Attribute Name]],(LEN(Table3[[#This Row],[Attribute Name]]))-1),Table3[[#This Row],[Attribute Name]])</f>
        <v>canister channel ID</v>
      </c>
      <c r="G27" s="2" t="str">
        <f t="shared" si="6"/>
        <v>canister-channel-id</v>
      </c>
      <c r="H27" s="33" t="str">
        <f>IF(Table3[[#This Row],[Unique entity qualified name]]&lt;&gt;"",Table3[[#This Row],[Unique entity qualified name]]&amp;"--"&amp;Table3[[#This Row],[Data attribute qualified name]],"")</f>
        <v>coffee-machine----canister-control--canister-channel-id</v>
      </c>
      <c r="I27" s="106" t="s">
        <v>226</v>
      </c>
      <c r="J27" s="82" t="s">
        <v>174</v>
      </c>
      <c r="K27" s="1"/>
      <c r="L27" s="1"/>
      <c r="M27" s="1"/>
      <c r="N27" s="1"/>
      <c r="O27" s="1"/>
    </row>
    <row r="28" spans="2:15" x14ac:dyDescent="0.3">
      <c r="B28">
        <v>27</v>
      </c>
      <c r="C28" s="81" t="s">
        <v>154</v>
      </c>
      <c r="D28" s="105" t="s">
        <v>224</v>
      </c>
      <c r="E28" s="82" t="s">
        <v>227</v>
      </c>
      <c r="F28" s="88" t="str">
        <f>IF(RIGHT(Table3[[#This Row],[Attribute Name]],1)=" ",LEFT(Table3[[#This Row],[Attribute Name]],(LEN(Table3[[#This Row],[Attribute Name]]))-1),Table3[[#This Row],[Attribute Name]])</f>
        <v>canister calibration date</v>
      </c>
      <c r="G28" s="2" t="str">
        <f t="shared" si="6"/>
        <v>canister-calibration-date</v>
      </c>
      <c r="H28" s="33" t="str">
        <f>IF(Table3[[#This Row],[Unique entity qualified name]]&lt;&gt;"",Table3[[#This Row],[Unique entity qualified name]]&amp;"--"&amp;Table3[[#This Row],[Data attribute qualified name]],"")</f>
        <v>coffee-machine----canister-control--canister-calibration-date</v>
      </c>
      <c r="I28" s="106" t="s">
        <v>228</v>
      </c>
      <c r="J28" s="82" t="s">
        <v>4</v>
      </c>
      <c r="K28" s="1"/>
      <c r="L28" s="1"/>
      <c r="M28" s="1"/>
      <c r="N28" s="1"/>
      <c r="O28" s="1"/>
    </row>
    <row r="29" spans="2:15" x14ac:dyDescent="0.3">
      <c r="B29">
        <v>28</v>
      </c>
      <c r="C29" s="81" t="s">
        <v>154</v>
      </c>
      <c r="D29" s="105" t="s">
        <v>224</v>
      </c>
      <c r="E29" s="82" t="s">
        <v>229</v>
      </c>
      <c r="F29" s="88" t="str">
        <f>IF(RIGHT(Table3[[#This Row],[Attribute Name]],1)=" ",LEFT(Table3[[#This Row],[Attribute Name]],(LEN(Table3[[#This Row],[Attribute Name]]))-1),Table3[[#This Row],[Attribute Name]])</f>
        <v>canister ingredient ID</v>
      </c>
      <c r="G29" s="2" t="str">
        <f t="shared" si="6"/>
        <v>canister-ingredient-id</v>
      </c>
      <c r="H29" s="33" t="str">
        <f>IF(Table3[[#This Row],[Unique entity qualified name]]&lt;&gt;"",Table3[[#This Row],[Unique entity qualified name]]&amp;"--"&amp;Table3[[#This Row],[Data attribute qualified name]],"")</f>
        <v>coffee-machine----canister-control--canister-ingredient-id</v>
      </c>
      <c r="I29" s="106" t="s">
        <v>230</v>
      </c>
      <c r="J29" s="82" t="s">
        <v>168</v>
      </c>
      <c r="K29" s="1"/>
      <c r="L29" s="1"/>
      <c r="M29" s="1"/>
      <c r="N29" s="1"/>
      <c r="O29" s="1"/>
    </row>
    <row r="30" spans="2:15" x14ac:dyDescent="0.3">
      <c r="B30">
        <v>29</v>
      </c>
      <c r="C30" s="81" t="s">
        <v>154</v>
      </c>
      <c r="D30" s="105" t="s">
        <v>224</v>
      </c>
      <c r="E30" s="82" t="s">
        <v>231</v>
      </c>
      <c r="F30" s="88" t="str">
        <f>IF(RIGHT(Table3[[#This Row],[Attribute Name]],1)=" ",LEFT(Table3[[#This Row],[Attribute Name]],(LEN(Table3[[#This Row],[Attribute Name]]))-1),Table3[[#This Row],[Attribute Name]])</f>
        <v>mixer mapping</v>
      </c>
      <c r="G30" s="2" t="str">
        <f t="shared" si="6"/>
        <v>mixer-mapping</v>
      </c>
      <c r="H30" s="33" t="str">
        <f>IF(Table3[[#This Row],[Unique entity qualified name]]&lt;&gt;"",Table3[[#This Row],[Unique entity qualified name]]&amp;"--"&amp;Table3[[#This Row],[Data attribute qualified name]],"")</f>
        <v>coffee-machine----canister-control--mixer-mapping</v>
      </c>
      <c r="I30" s="106" t="s">
        <v>232</v>
      </c>
      <c r="J30" s="82" t="s">
        <v>168</v>
      </c>
      <c r="K30" s="1"/>
      <c r="L30" s="1"/>
      <c r="M30" s="1"/>
      <c r="N30" s="1"/>
      <c r="O30" s="1"/>
    </row>
    <row r="31" spans="2:15" x14ac:dyDescent="0.3">
      <c r="B31">
        <v>30</v>
      </c>
      <c r="C31" s="81" t="s">
        <v>154</v>
      </c>
      <c r="D31" s="105" t="s">
        <v>224</v>
      </c>
      <c r="E31" s="82" t="s">
        <v>233</v>
      </c>
      <c r="F31" s="88" t="str">
        <f>IF(RIGHT(Table3[[#This Row],[Attribute Name]],1)=" ",LEFT(Table3[[#This Row],[Attribute Name]],(LEN(Table3[[#This Row],[Attribute Name]]))-1),Table3[[#This Row],[Attribute Name]])</f>
        <v>canister position number</v>
      </c>
      <c r="G31" s="2" t="str">
        <f t="shared" si="6"/>
        <v>canister-position-number</v>
      </c>
      <c r="H31" s="33" t="str">
        <f>IF(Table3[[#This Row],[Unique entity qualified name]]&lt;&gt;"",Table3[[#This Row],[Unique entity qualified name]]&amp;"--"&amp;Table3[[#This Row],[Data attribute qualified name]],"")</f>
        <v>coffee-machine----canister-control--canister-position-number</v>
      </c>
      <c r="I31" s="106" t="s">
        <v>234</v>
      </c>
      <c r="J31" s="82" t="s">
        <v>174</v>
      </c>
      <c r="K31" s="1"/>
      <c r="L31" s="1"/>
      <c r="M31" s="1"/>
      <c r="N31" s="1"/>
      <c r="O31" s="1"/>
    </row>
    <row r="32" spans="2:15" x14ac:dyDescent="0.3">
      <c r="B32">
        <v>31</v>
      </c>
      <c r="C32" s="81" t="s">
        <v>154</v>
      </c>
      <c r="D32" s="105" t="s">
        <v>224</v>
      </c>
      <c r="E32" s="82" t="s">
        <v>235</v>
      </c>
      <c r="F32" s="88" t="str">
        <f>IF(RIGHT(Table3[[#This Row],[Attribute Name]],1)=" ",LEFT(Table3[[#This Row],[Attribute Name]],(LEN(Table3[[#This Row],[Attribute Name]]))-1),Table3[[#This Row],[Attribute Name]])</f>
        <v>canister outlet</v>
      </c>
      <c r="G32" s="2" t="str">
        <f t="shared" si="6"/>
        <v>canister-outlet</v>
      </c>
      <c r="H32" s="33" t="str">
        <f>IF(Table3[[#This Row],[Unique entity qualified name]]&lt;&gt;"",Table3[[#This Row],[Unique entity qualified name]]&amp;"--"&amp;Table3[[#This Row],[Data attribute qualified name]],"")</f>
        <v>coffee-machine----canister-control--canister-outlet</v>
      </c>
      <c r="I32" s="106" t="s">
        <v>236</v>
      </c>
      <c r="J32" s="82" t="s">
        <v>174</v>
      </c>
      <c r="K32" s="1"/>
      <c r="L32" s="1"/>
      <c r="M32" s="1"/>
      <c r="N32" s="1"/>
      <c r="O32" s="1"/>
    </row>
    <row r="33" spans="2:15" x14ac:dyDescent="0.3">
      <c r="B33">
        <v>32</v>
      </c>
      <c r="C33" s="81" t="s">
        <v>154</v>
      </c>
      <c r="D33" s="105" t="s">
        <v>224</v>
      </c>
      <c r="E33" s="82" t="s">
        <v>237</v>
      </c>
      <c r="F33" s="88" t="str">
        <f>IF(RIGHT(Table3[[#This Row],[Attribute Name]],1)=" ",LEFT(Table3[[#This Row],[Attribute Name]],(LEN(Table3[[#This Row],[Attribute Name]]))-1),Table3[[#This Row],[Attribute Name]])</f>
        <v>canister type</v>
      </c>
      <c r="G33" s="2" t="str">
        <f t="shared" si="6"/>
        <v>canister-type</v>
      </c>
      <c r="H33" s="33" t="str">
        <f>IF(Table3[[#This Row],[Unique entity qualified name]]&lt;&gt;"",Table3[[#This Row],[Unique entity qualified name]]&amp;"--"&amp;Table3[[#This Row],[Data attribute qualified name]],"")</f>
        <v>coffee-machine----canister-control--canister-type</v>
      </c>
      <c r="I33" s="106" t="s">
        <v>238</v>
      </c>
      <c r="J33" s="82" t="s">
        <v>168</v>
      </c>
      <c r="K33" s="1"/>
      <c r="L33" s="1"/>
      <c r="M33" s="1"/>
      <c r="N33" s="1"/>
      <c r="O33" s="1"/>
    </row>
    <row r="34" spans="2:15" x14ac:dyDescent="0.3">
      <c r="B34">
        <v>33</v>
      </c>
      <c r="C34" s="81" t="s">
        <v>154</v>
      </c>
      <c r="D34" s="105" t="s">
        <v>224</v>
      </c>
      <c r="E34" s="82" t="s">
        <v>239</v>
      </c>
      <c r="F34" s="88" t="str">
        <f>IF(RIGHT(Table3[[#This Row],[Attribute Name]],1)=" ",LEFT(Table3[[#This Row],[Attribute Name]],(LEN(Table3[[#This Row],[Attribute Name]]))-1),Table3[[#This Row],[Attribute Name]])</f>
        <v>canister label</v>
      </c>
      <c r="G34" s="2" t="str">
        <f t="shared" si="6"/>
        <v>canister-label</v>
      </c>
      <c r="H34" s="33" t="str">
        <f>IF(Table3[[#This Row],[Unique entity qualified name]]&lt;&gt;"",Table3[[#This Row],[Unique entity qualified name]]&amp;"--"&amp;Table3[[#This Row],[Data attribute qualified name]],"")</f>
        <v>coffee-machine----canister-control--canister-label</v>
      </c>
      <c r="I34" s="106" t="s">
        <v>240</v>
      </c>
      <c r="J34" s="82" t="s">
        <v>168</v>
      </c>
      <c r="K34" s="1"/>
      <c r="L34" s="1"/>
      <c r="M34" s="1"/>
      <c r="N34" s="1"/>
      <c r="O34" s="1"/>
    </row>
    <row r="35" spans="2:15" x14ac:dyDescent="0.3">
      <c r="B35">
        <v>34</v>
      </c>
      <c r="C35" s="81" t="s">
        <v>141</v>
      </c>
      <c r="D35" s="105" t="s">
        <v>142</v>
      </c>
      <c r="E35" s="82" t="s">
        <v>241</v>
      </c>
      <c r="F35" s="88" t="str">
        <f>IF(RIGHT(Table3[[#This Row],[Attribute Name]],1)=" ",LEFT(Table3[[#This Row],[Attribute Name]],(LEN(Table3[[#This Row],[Attribute Name]]))-1),Table3[[#This Row],[Attribute Name]])</f>
        <v>beverage ID Bravilor</v>
      </c>
      <c r="G35" s="2" t="str">
        <f t="shared" si="6"/>
        <v>beverage-id-bravilor</v>
      </c>
      <c r="H35" s="33" t="str">
        <f>IF(Table3[[#This Row],[Unique entity qualified name]]&lt;&gt;"",Table3[[#This Row],[Unique entity qualified name]]&amp;"--"&amp;Table3[[#This Row],[Data attribute qualified name]],"")</f>
        <v>coffee-machine--machine-configuration--beverage-id-bravilor</v>
      </c>
      <c r="I35" s="106" t="s">
        <v>242</v>
      </c>
      <c r="J35" s="82" t="s">
        <v>195</v>
      </c>
      <c r="K35" s="1"/>
      <c r="L35" s="1"/>
      <c r="M35" s="1"/>
      <c r="N35" s="1"/>
      <c r="O35" s="1"/>
    </row>
    <row r="36" spans="2:15" x14ac:dyDescent="0.3">
      <c r="B36">
        <v>35</v>
      </c>
      <c r="C36" s="81" t="s">
        <v>141</v>
      </c>
      <c r="D36" s="105" t="s">
        <v>142</v>
      </c>
      <c r="E36" s="82" t="s">
        <v>243</v>
      </c>
      <c r="F36" s="88" t="str">
        <f>IF(RIGHT(Table3[[#This Row],[Attribute Name]],1)=" ",LEFT(Table3[[#This Row],[Attribute Name]],(LEN(Table3[[#This Row],[Attribute Name]]))-1),Table3[[#This Row],[Attribute Name]])</f>
        <v>beverage ID</v>
      </c>
      <c r="G36" s="2" t="str">
        <f t="shared" si="6"/>
        <v>beverage-id</v>
      </c>
      <c r="H36" s="33" t="str">
        <f>IF(Table3[[#This Row],[Unique entity qualified name]]&lt;&gt;"",Table3[[#This Row],[Unique entity qualified name]]&amp;"--"&amp;Table3[[#This Row],[Data attribute qualified name]],"")</f>
        <v>coffee-machine--machine-configuration--beverage-id</v>
      </c>
      <c r="I36" s="106" t="s">
        <v>244</v>
      </c>
      <c r="J36" s="82" t="s">
        <v>195</v>
      </c>
      <c r="K36" s="1"/>
      <c r="L36" s="1"/>
      <c r="M36" s="1"/>
      <c r="N36" s="1"/>
      <c r="O36" s="1"/>
    </row>
    <row r="37" spans="2:15" x14ac:dyDescent="0.3">
      <c r="B37">
        <v>36</v>
      </c>
      <c r="C37" s="81" t="s">
        <v>138</v>
      </c>
      <c r="D37" s="105" t="s">
        <v>196</v>
      </c>
      <c r="E37" s="82" t="s">
        <v>245</v>
      </c>
      <c r="F37" s="88" t="str">
        <f>IF(RIGHT(Table3[[#This Row],[Attribute Name]],1)=" ",LEFT(Table3[[#This Row],[Attribute Name]],(LEN(Table3[[#This Row],[Attribute Name]]))-1),Table3[[#This Row],[Attribute Name]])</f>
        <v>master state</v>
      </c>
      <c r="G37" s="2" t="str">
        <f t="shared" si="6"/>
        <v>master-state</v>
      </c>
      <c r="H37" s="33" t="str">
        <f>IF(Table3[[#This Row],[Unique entity qualified name]]&lt;&gt;"",Table3[[#This Row],[Unique entity qualified name]]&amp;"--"&amp;Table3[[#This Row],[Data attribute qualified name]],"")</f>
        <v>coffee-machine--machine-state--master-state</v>
      </c>
      <c r="I37" s="106" t="s">
        <v>246</v>
      </c>
      <c r="J37" s="82" t="s">
        <v>168</v>
      </c>
      <c r="K37" s="1"/>
      <c r="L37" s="1"/>
      <c r="M37" s="1"/>
      <c r="N37" s="1"/>
      <c r="O37" s="1"/>
    </row>
    <row r="38" spans="2:15" x14ac:dyDescent="0.3">
      <c r="B38">
        <v>37</v>
      </c>
      <c r="C38" s="81" t="s">
        <v>138</v>
      </c>
      <c r="D38" s="105" t="s">
        <v>196</v>
      </c>
      <c r="E38" s="82" t="s">
        <v>247</v>
      </c>
      <c r="F38" s="88" t="str">
        <f>IF(RIGHT(Table3[[#This Row],[Attribute Name]],1)=" ",LEFT(Table3[[#This Row],[Attribute Name]],(LEN(Table3[[#This Row],[Attribute Name]]))-1),Table3[[#This Row],[Attribute Name]])</f>
        <v>additional state info</v>
      </c>
      <c r="G38" s="2" t="str">
        <f t="shared" si="6"/>
        <v>additional-state-info</v>
      </c>
      <c r="H38" s="33" t="str">
        <f>IF(Table3[[#This Row],[Unique entity qualified name]]&lt;&gt;"",Table3[[#This Row],[Unique entity qualified name]]&amp;"--"&amp;Table3[[#This Row],[Data attribute qualified name]],"")</f>
        <v>coffee-machine--machine-state--additional-state-info</v>
      </c>
      <c r="I38" s="106" t="s">
        <v>248</v>
      </c>
      <c r="J38" s="82" t="s">
        <v>168</v>
      </c>
      <c r="K38" s="1"/>
      <c r="L38" s="1"/>
      <c r="M38" s="1"/>
      <c r="N38" s="1"/>
      <c r="O38" s="1"/>
    </row>
    <row r="39" spans="2:15" x14ac:dyDescent="0.3">
      <c r="B39">
        <v>38</v>
      </c>
      <c r="C39" s="81" t="s">
        <v>152</v>
      </c>
      <c r="D39" s="105" t="s">
        <v>249</v>
      </c>
      <c r="E39" s="82" t="s">
        <v>250</v>
      </c>
      <c r="F39" s="88" t="str">
        <f>IF(RIGHT(Table3[[#This Row],[Attribute Name]],1)=" ",LEFT(Table3[[#This Row],[Attribute Name]],(LEN(Table3[[#This Row],[Attribute Name]]))-1),Table3[[#This Row],[Attribute Name]])</f>
        <v>end customer name</v>
      </c>
      <c r="G39" s="2" t="str">
        <f t="shared" si="6"/>
        <v>end-customer-name</v>
      </c>
      <c r="H39" s="33" t="str">
        <f>IF(Table3[[#This Row],[Unique entity qualified name]]&lt;&gt;"",Table3[[#This Row],[Unique entity qualified name]]&amp;"--"&amp;Table3[[#This Row],[Data attribute qualified name]],"")</f>
        <v>sales--end-customer--end-customer-name</v>
      </c>
      <c r="I39" s="106" t="s">
        <v>251</v>
      </c>
      <c r="J39" s="82" t="s">
        <v>168</v>
      </c>
      <c r="K39" s="1"/>
      <c r="L39" s="1"/>
      <c r="M39" s="1"/>
      <c r="N39" s="1"/>
      <c r="O39" s="1"/>
    </row>
    <row r="40" spans="2:15" x14ac:dyDescent="0.3">
      <c r="B40">
        <v>39</v>
      </c>
      <c r="C40" s="81" t="s">
        <v>156</v>
      </c>
      <c r="D40" s="105" t="s">
        <v>252</v>
      </c>
      <c r="E40" s="82" t="s">
        <v>253</v>
      </c>
      <c r="F40" s="88" t="str">
        <f>IF(RIGHT(Table3[[#This Row],[Attribute Name]],1)=" ",LEFT(Table3[[#This Row],[Attribute Name]],(LEN(Table3[[#This Row],[Attribute Name]]))-1),Table3[[#This Row],[Attribute Name]])</f>
        <v>machine location</v>
      </c>
      <c r="G40" s="2" t="str">
        <f t="shared" si="6"/>
        <v>machine-location</v>
      </c>
      <c r="H40" s="33" t="str">
        <f>IF(Table3[[#This Row],[Unique entity qualified name]]&lt;&gt;"",Table3[[#This Row],[Unique entity qualified name]]&amp;"--"&amp;Table3[[#This Row],[Data attribute qualified name]],"")</f>
        <v>coffee-machine--machine--machine-location</v>
      </c>
      <c r="I40" s="106" t="s">
        <v>254</v>
      </c>
      <c r="J40" s="82" t="s">
        <v>168</v>
      </c>
      <c r="K40" s="1"/>
      <c r="L40" s="1"/>
      <c r="M40" s="1"/>
      <c r="N40" s="1"/>
      <c r="O40" s="1"/>
    </row>
    <row r="41" spans="2:15" x14ac:dyDescent="0.3">
      <c r="B41">
        <v>40</v>
      </c>
      <c r="C41" s="81" t="s">
        <v>156</v>
      </c>
      <c r="D41" s="105" t="s">
        <v>252</v>
      </c>
      <c r="E41" s="82" t="s">
        <v>255</v>
      </c>
      <c r="F41" s="88" t="str">
        <f>IF(RIGHT(Table3[[#This Row],[Attribute Name]],1)=" ",LEFT(Table3[[#This Row],[Attribute Name]],(LEN(Table3[[#This Row],[Attribute Name]]))-1),Table3[[#This Row],[Attribute Name]])</f>
        <v>machine name</v>
      </c>
      <c r="G41" s="2" t="str">
        <f t="shared" si="6"/>
        <v>machine-name</v>
      </c>
      <c r="H41" s="33" t="str">
        <f>IF(Table3[[#This Row],[Unique entity qualified name]]&lt;&gt;"",Table3[[#This Row],[Unique entity qualified name]]&amp;"--"&amp;Table3[[#This Row],[Data attribute qualified name]],"")</f>
        <v>coffee-machine--machine--machine-name</v>
      </c>
      <c r="I41" s="106" t="s">
        <v>256</v>
      </c>
      <c r="J41" s="82" t="s">
        <v>168</v>
      </c>
      <c r="K41" s="1"/>
      <c r="L41" s="1"/>
      <c r="M41" s="1"/>
      <c r="N41" s="1"/>
      <c r="O41" s="1"/>
    </row>
    <row r="42" spans="2:15" x14ac:dyDescent="0.3">
      <c r="B42">
        <v>41</v>
      </c>
      <c r="C42" s="81" t="s">
        <v>149</v>
      </c>
      <c r="D42" s="105" t="s">
        <v>183</v>
      </c>
      <c r="E42" s="82" t="s">
        <v>257</v>
      </c>
      <c r="F42" s="88" t="str">
        <f>IF(RIGHT(Table3[[#This Row],[Attribute Name]],1)=" ",LEFT(Table3[[#This Row],[Attribute Name]],(LEN(Table3[[#This Row],[Attribute Name]]))-1),Table3[[#This Row],[Attribute Name]])</f>
        <v>consumption record timestamp</v>
      </c>
      <c r="G42" s="2" t="str">
        <f t="shared" si="6"/>
        <v>consumption-record-timestamp</v>
      </c>
      <c r="H42" s="33" t="str">
        <f>IF(Table3[[#This Row],[Unique entity qualified name]]&lt;&gt;"",Table3[[#This Row],[Unique entity qualified name]]&amp;"--"&amp;Table3[[#This Row],[Data attribute qualified name]],"")</f>
        <v>beverage-production--consumption-records--consumption-record-timestamp</v>
      </c>
      <c r="I42" s="106" t="s">
        <v>258</v>
      </c>
      <c r="J42" s="82" t="s">
        <v>4</v>
      </c>
      <c r="K42" s="1"/>
      <c r="L42" s="1"/>
      <c r="M42" s="1"/>
      <c r="N42" s="1"/>
      <c r="O42" s="1"/>
    </row>
    <row r="43" spans="2:15" x14ac:dyDescent="0.3">
      <c r="B43">
        <v>42</v>
      </c>
      <c r="C43" s="81" t="s">
        <v>134</v>
      </c>
      <c r="D43" s="105" t="s">
        <v>192</v>
      </c>
      <c r="E43" s="82" t="s">
        <v>259</v>
      </c>
      <c r="F43" s="88" t="str">
        <f>IF(RIGHT(Table3[[#This Row],[Attribute Name]],1)=" ",LEFT(Table3[[#This Row],[Attribute Name]],(LEN(Table3[[#This Row],[Attribute Name]]))-1),Table3[[#This Row],[Attribute Name]])</f>
        <v>event name</v>
      </c>
      <c r="G43" s="2" t="str">
        <f t="shared" si="6"/>
        <v>event-name</v>
      </c>
      <c r="H43" s="33" t="str">
        <f>IF(Table3[[#This Row],[Unique entity qualified name]]&lt;&gt;"",Table3[[#This Row],[Unique entity qualified name]]&amp;"--"&amp;Table3[[#This Row],[Data attribute qualified name]],"")</f>
        <v>coffee-machine--machine-events--event-name</v>
      </c>
      <c r="I43" s="106" t="s">
        <v>260</v>
      </c>
      <c r="J43" s="82" t="s">
        <v>168</v>
      </c>
      <c r="K43" s="1"/>
      <c r="L43" s="1"/>
      <c r="M43" s="1"/>
      <c r="N43" s="1"/>
      <c r="O43" s="1"/>
    </row>
    <row r="44" spans="2:15" x14ac:dyDescent="0.3">
      <c r="B44">
        <v>43</v>
      </c>
      <c r="C44" s="81" t="s">
        <v>156</v>
      </c>
      <c r="D44" s="105" t="s">
        <v>252</v>
      </c>
      <c r="E44" s="82" t="s">
        <v>261</v>
      </c>
      <c r="F44" s="88" t="str">
        <f>IF(RIGHT(Table3[[#This Row],[Attribute Name]],1)=" ",LEFT(Table3[[#This Row],[Attribute Name]],(LEN(Table3[[#This Row],[Attribute Name]]))-1),Table3[[#This Row],[Attribute Name]])</f>
        <v>filtering tags</v>
      </c>
      <c r="G44" s="2" t="str">
        <f t="shared" si="6"/>
        <v>filtering-tags</v>
      </c>
      <c r="H44" s="33" t="str">
        <f>IF(Table3[[#This Row],[Unique entity qualified name]]&lt;&gt;"",Table3[[#This Row],[Unique entity qualified name]]&amp;"--"&amp;Table3[[#This Row],[Data attribute qualified name]],"")</f>
        <v>coffee-machine--machine--filtering-tags</v>
      </c>
      <c r="I44" s="106" t="s">
        <v>262</v>
      </c>
      <c r="J44" s="82" t="s">
        <v>168</v>
      </c>
      <c r="K44" s="1"/>
      <c r="L44" s="1"/>
      <c r="M44" s="1"/>
      <c r="N44" s="1"/>
      <c r="O44" s="1"/>
    </row>
    <row r="45" spans="2:15" x14ac:dyDescent="0.3">
      <c r="B45">
        <v>44</v>
      </c>
      <c r="C45" s="81" t="s">
        <v>156</v>
      </c>
      <c r="D45" s="105" t="s">
        <v>252</v>
      </c>
      <c r="E45" s="82" t="s">
        <v>263</v>
      </c>
      <c r="F45" s="88" t="str">
        <f>IF(RIGHT(Table3[[#This Row],[Attribute Name]],1)=" ",LEFT(Table3[[#This Row],[Attribute Name]],(LEN(Table3[[#This Row],[Attribute Name]]))-1),Table3[[#This Row],[Attribute Name]])</f>
        <v>sorting tags</v>
      </c>
      <c r="G45" s="2" t="str">
        <f t="shared" si="6"/>
        <v>sorting-tags</v>
      </c>
      <c r="H45" s="33" t="str">
        <f>IF(Table3[[#This Row],[Unique entity qualified name]]&lt;&gt;"",Table3[[#This Row],[Unique entity qualified name]]&amp;"--"&amp;Table3[[#This Row],[Data attribute qualified name]],"")</f>
        <v>coffee-machine--machine--sorting-tags</v>
      </c>
      <c r="I45" s="106" t="s">
        <v>264</v>
      </c>
      <c r="J45" s="82" t="s">
        <v>168</v>
      </c>
      <c r="K45" s="1"/>
      <c r="L45" s="1"/>
      <c r="M45" s="1"/>
      <c r="N45" s="1"/>
      <c r="O45" s="1"/>
    </row>
    <row r="46" spans="2:15" x14ac:dyDescent="0.3">
      <c r="B46">
        <v>45</v>
      </c>
      <c r="C46" s="81" t="s">
        <v>156</v>
      </c>
      <c r="D46" s="105" t="s">
        <v>252</v>
      </c>
      <c r="E46" s="82" t="s">
        <v>265</v>
      </c>
      <c r="F46" s="88" t="str">
        <f>IF(RIGHT(Table3[[#This Row],[Attribute Name]],1)=" ",LEFT(Table3[[#This Row],[Attribute Name]],(LEN(Table3[[#This Row],[Attribute Name]]))-1),Table3[[#This Row],[Attribute Name]])</f>
        <v>serial number</v>
      </c>
      <c r="G46" s="2" t="str">
        <f t="shared" si="6"/>
        <v>serial-number</v>
      </c>
      <c r="H46" s="33" t="str">
        <f>IF(Table3[[#This Row],[Unique entity qualified name]]&lt;&gt;"",Table3[[#This Row],[Unique entity qualified name]]&amp;"--"&amp;Table3[[#This Row],[Data attribute qualified name]],"")</f>
        <v>coffee-machine--machine--serial-number</v>
      </c>
      <c r="I46" s="106" t="s">
        <v>266</v>
      </c>
      <c r="J46" s="82" t="s">
        <v>168</v>
      </c>
      <c r="K46" s="1"/>
      <c r="L46" s="1"/>
      <c r="M46" s="1"/>
      <c r="N46" s="1"/>
      <c r="O46" s="1"/>
    </row>
    <row r="47" spans="2:15" x14ac:dyDescent="0.3">
      <c r="B47">
        <v>46</v>
      </c>
      <c r="C47" s="81" t="s">
        <v>134</v>
      </c>
      <c r="D47" s="105" t="s">
        <v>192</v>
      </c>
      <c r="E47" s="82" t="s">
        <v>267</v>
      </c>
      <c r="F47" s="88" t="str">
        <f>IF(RIGHT(Table3[[#This Row],[Attribute Name]],1)=" ",LEFT(Table3[[#This Row],[Attribute Name]],(LEN(Table3[[#This Row],[Attribute Name]]))-1),Table3[[#This Row],[Attribute Name]])</f>
        <v>event title</v>
      </c>
      <c r="G47" s="2" t="str">
        <f t="shared" si="6"/>
        <v>event-title</v>
      </c>
      <c r="H47" s="33" t="str">
        <f>IF(Table3[[#This Row],[Unique entity qualified name]]&lt;&gt;"",Table3[[#This Row],[Unique entity qualified name]]&amp;"--"&amp;Table3[[#This Row],[Data attribute qualified name]],"")</f>
        <v>coffee-machine--machine-events--event-title</v>
      </c>
      <c r="I47" s="106" t="s">
        <v>268</v>
      </c>
      <c r="J47" s="82" t="s">
        <v>168</v>
      </c>
      <c r="K47" s="1"/>
      <c r="L47" s="1"/>
      <c r="M47" s="1"/>
      <c r="N47" s="1"/>
      <c r="O47" s="1"/>
    </row>
    <row r="48" spans="2:15" x14ac:dyDescent="0.3">
      <c r="B48">
        <v>47</v>
      </c>
      <c r="C48" s="81" t="s">
        <v>138</v>
      </c>
      <c r="D48" s="105" t="s">
        <v>196</v>
      </c>
      <c r="E48" s="82" t="s">
        <v>269</v>
      </c>
      <c r="F48" s="88" t="str">
        <f>IF(RIGHT(Table3[[#This Row],[Attribute Name]],1)=" ",LEFT(Table3[[#This Row],[Attribute Name]],(LEN(Table3[[#This Row],[Attribute Name]]))-1),Table3[[#This Row],[Attribute Name]])</f>
        <v>total error count</v>
      </c>
      <c r="G48" s="2" t="str">
        <f t="shared" si="6"/>
        <v>total-error-count</v>
      </c>
      <c r="H48" s="33" t="str">
        <f>IF(Table3[[#This Row],[Unique entity qualified name]]&lt;&gt;"",Table3[[#This Row],[Unique entity qualified name]]&amp;"--"&amp;Table3[[#This Row],[Data attribute qualified name]],"")</f>
        <v>coffee-machine--machine-state--total-error-count</v>
      </c>
      <c r="I48" s="106" t="s">
        <v>270</v>
      </c>
      <c r="J48" s="82" t="s">
        <v>174</v>
      </c>
      <c r="K48" s="1"/>
      <c r="L48" s="1"/>
      <c r="M48" s="1"/>
      <c r="N48" s="1"/>
      <c r="O48" s="1"/>
    </row>
    <row r="49" spans="2:15" x14ac:dyDescent="0.3">
      <c r="B49">
        <v>48</v>
      </c>
      <c r="C49" s="81" t="s">
        <v>138</v>
      </c>
      <c r="D49" s="105" t="s">
        <v>196</v>
      </c>
      <c r="E49" s="82" t="s">
        <v>271</v>
      </c>
      <c r="F49" s="88" t="str">
        <f>IF(RIGHT(Table3[[#This Row],[Attribute Name]],1)=" ",LEFT(Table3[[#This Row],[Attribute Name]],(LEN(Table3[[#This Row],[Attribute Name]]))-1),Table3[[#This Row],[Attribute Name]])</f>
        <v>monthly error count</v>
      </c>
      <c r="G49" s="2" t="str">
        <f t="shared" si="6"/>
        <v>monthly-error-count</v>
      </c>
      <c r="H49" s="33" t="str">
        <f>IF(Table3[[#This Row],[Unique entity qualified name]]&lt;&gt;"",Table3[[#This Row],[Unique entity qualified name]]&amp;"--"&amp;Table3[[#This Row],[Data attribute qualified name]],"")</f>
        <v>coffee-machine--machine-state--monthly-error-count</v>
      </c>
      <c r="I49" s="106" t="s">
        <v>272</v>
      </c>
      <c r="J49" s="82" t="s">
        <v>174</v>
      </c>
      <c r="K49" s="1"/>
      <c r="L49" s="1"/>
      <c r="M49" s="1"/>
      <c r="N49" s="1"/>
      <c r="O49" s="1"/>
    </row>
    <row r="50" spans="2:15" x14ac:dyDescent="0.3">
      <c r="B50">
        <v>49</v>
      </c>
      <c r="C50" s="81" t="s">
        <v>149</v>
      </c>
      <c r="D50" s="105" t="s">
        <v>183</v>
      </c>
      <c r="E50" s="82" t="s">
        <v>273</v>
      </c>
      <c r="F50" s="88" t="str">
        <f>IF(RIGHT(Table3[[#This Row],[Attribute Name]],1)=" ",LEFT(Table3[[#This Row],[Attribute Name]],(LEN(Table3[[#This Row],[Attribute Name]]))-1),Table3[[#This Row],[Attribute Name]])</f>
        <v>beverage count</v>
      </c>
      <c r="G50" s="2" t="str">
        <f t="shared" si="6"/>
        <v>beverage-count</v>
      </c>
      <c r="H50" s="33" t="str">
        <f>IF(Table3[[#This Row],[Unique entity qualified name]]&lt;&gt;"",Table3[[#This Row],[Unique entity qualified name]]&amp;"--"&amp;Table3[[#This Row],[Data attribute qualified name]],"")</f>
        <v>beverage-production--consumption-records--beverage-count</v>
      </c>
      <c r="I50" s="106" t="s">
        <v>274</v>
      </c>
      <c r="J50" s="82" t="s">
        <v>174</v>
      </c>
      <c r="K50" s="1"/>
      <c r="L50" s="1"/>
      <c r="M50" s="1"/>
      <c r="N50" s="1"/>
      <c r="O50" s="1"/>
    </row>
    <row r="51" spans="2:15" x14ac:dyDescent="0.3">
      <c r="B51">
        <v>50</v>
      </c>
      <c r="C51" s="81" t="s">
        <v>149</v>
      </c>
      <c r="D51" s="105" t="s">
        <v>183</v>
      </c>
      <c r="E51" s="82" t="s">
        <v>275</v>
      </c>
      <c r="F51" s="88" t="str">
        <f>IF(RIGHT(Table3[[#This Row],[Attribute Name]],1)=" ",LEFT(Table3[[#This Row],[Attribute Name]],(LEN(Table3[[#This Row],[Attribute Name]]))-1),Table3[[#This Row],[Attribute Name]])</f>
        <v>customized beverage count</v>
      </c>
      <c r="G51" s="2" t="str">
        <f t="shared" si="6"/>
        <v>customized-beverage-count</v>
      </c>
      <c r="H51" s="33" t="str">
        <f>IF(Table3[[#This Row],[Unique entity qualified name]]&lt;&gt;"",Table3[[#This Row],[Unique entity qualified name]]&amp;"--"&amp;Table3[[#This Row],[Data attribute qualified name]],"")</f>
        <v>beverage-production--consumption-records--customized-beverage-count</v>
      </c>
      <c r="I51" s="106" t="s">
        <v>276</v>
      </c>
      <c r="J51" s="82" t="s">
        <v>174</v>
      </c>
      <c r="K51" s="1"/>
      <c r="L51" s="1"/>
      <c r="M51" s="1"/>
      <c r="N51" s="1"/>
      <c r="O51" s="1"/>
    </row>
    <row r="52" spans="2:15" x14ac:dyDescent="0.3">
      <c r="B52">
        <v>51</v>
      </c>
      <c r="C52" s="81" t="s">
        <v>138</v>
      </c>
      <c r="D52" s="105" t="s">
        <v>196</v>
      </c>
      <c r="E52" s="82" t="s">
        <v>277</v>
      </c>
      <c r="F52" s="88" t="str">
        <f>IF(RIGHT(Table3[[#This Row],[Attribute Name]],1)=" ",LEFT(Table3[[#This Row],[Attribute Name]],(LEN(Table3[[#This Row],[Attribute Name]]))-1),Table3[[#This Row],[Attribute Name]])</f>
        <v>event type</v>
      </c>
      <c r="G52" s="2" t="str">
        <f t="shared" si="6"/>
        <v>event-type</v>
      </c>
      <c r="H52" s="33" t="str">
        <f>IF(Table3[[#This Row],[Unique entity qualified name]]&lt;&gt;"",Table3[[#This Row],[Unique entity qualified name]]&amp;"--"&amp;Table3[[#This Row],[Data attribute qualified name]],"")</f>
        <v>coffee-machine--machine-state--event-type</v>
      </c>
      <c r="I52" s="106" t="s">
        <v>278</v>
      </c>
      <c r="J52" s="82" t="s">
        <v>168</v>
      </c>
      <c r="K52" s="1"/>
      <c r="L52" s="1"/>
      <c r="M52" s="1"/>
      <c r="N52" s="1"/>
      <c r="O52" s="1"/>
    </row>
    <row r="53" spans="2:15" x14ac:dyDescent="0.3">
      <c r="B53">
        <v>52</v>
      </c>
      <c r="C53" s="81" t="s">
        <v>138</v>
      </c>
      <c r="D53" s="105" t="s">
        <v>196</v>
      </c>
      <c r="E53" s="82" t="s">
        <v>279</v>
      </c>
      <c r="F53" s="88" t="str">
        <f>IF(RIGHT(Table3[[#This Row],[Attribute Name]],1)=" ",LEFT(Table3[[#This Row],[Attribute Name]],(LEN(Table3[[#This Row],[Attribute Name]]))-1),Table3[[#This Row],[Attribute Name]])</f>
        <v>event status</v>
      </c>
      <c r="G53" s="2" t="str">
        <f t="shared" si="6"/>
        <v>event-status</v>
      </c>
      <c r="H53" s="33" t="str">
        <f>IF(Table3[[#This Row],[Unique entity qualified name]]&lt;&gt;"",Table3[[#This Row],[Unique entity qualified name]]&amp;"--"&amp;Table3[[#This Row],[Data attribute qualified name]],"")</f>
        <v>coffee-machine--machine-state--event-status</v>
      </c>
      <c r="I53" s="106" t="s">
        <v>280</v>
      </c>
      <c r="J53" s="82" t="s">
        <v>168</v>
      </c>
      <c r="K53" s="1"/>
      <c r="L53" s="1"/>
      <c r="M53" s="1"/>
      <c r="N53" s="1"/>
      <c r="O53" s="1"/>
    </row>
    <row r="54" spans="2:15" x14ac:dyDescent="0.3">
      <c r="B54">
        <v>53</v>
      </c>
      <c r="C54" s="81" t="s">
        <v>156</v>
      </c>
      <c r="D54" s="105" t="s">
        <v>252</v>
      </c>
      <c r="E54" s="82" t="s">
        <v>281</v>
      </c>
      <c r="F54" s="88" t="str">
        <f>IF(RIGHT(Table3[[#This Row],[Attribute Name]],1)=" ",LEFT(Table3[[#This Row],[Attribute Name]],(LEN(Table3[[#This Row],[Attribute Name]]))-1),Table3[[#This Row],[Attribute Name]])</f>
        <v>machine customer ID</v>
      </c>
      <c r="G54" s="2" t="str">
        <f t="shared" si="6"/>
        <v>machine-customer-id</v>
      </c>
      <c r="H54" s="33" t="str">
        <f>IF(Table3[[#This Row],[Unique entity qualified name]]&lt;&gt;"",Table3[[#This Row],[Unique entity qualified name]]&amp;"--"&amp;Table3[[#This Row],[Data attribute qualified name]],"")</f>
        <v>coffee-machine--machine--machine-customer-id</v>
      </c>
      <c r="I54" s="106" t="s">
        <v>282</v>
      </c>
      <c r="J54" s="82" t="s">
        <v>168</v>
      </c>
      <c r="K54" s="1"/>
      <c r="L54" s="1"/>
      <c r="M54" s="1"/>
      <c r="N54" s="1"/>
      <c r="O54" s="1"/>
    </row>
    <row r="55" spans="2:15" x14ac:dyDescent="0.3">
      <c r="B55">
        <v>54</v>
      </c>
      <c r="C55" s="81" t="s">
        <v>156</v>
      </c>
      <c r="D55" s="105" t="s">
        <v>252</v>
      </c>
      <c r="E55" s="82" t="s">
        <v>283</v>
      </c>
      <c r="F55" s="88" t="str">
        <f>IF(RIGHT(Table3[[#This Row],[Attribute Name]],1)=" ",LEFT(Table3[[#This Row],[Attribute Name]],(LEN(Table3[[#This Row],[Attribute Name]]))-1),Table3[[#This Row],[Attribute Name]])</f>
        <v>mobile data usage</v>
      </c>
      <c r="G55" s="2" t="str">
        <f t="shared" ref="G55:G72" si="7">SUBSTITUTE(SUBSTITUTE(SUBSTITUTE(SUBSTITUTE(LOWER(F55),"&amp;",""),"-",""),"  ","-")," ","-")</f>
        <v>mobile-data-usage</v>
      </c>
      <c r="H55" s="33" t="str">
        <f>IF(Table3[[#This Row],[Unique entity qualified name]]&lt;&gt;"",Table3[[#This Row],[Unique entity qualified name]]&amp;"--"&amp;Table3[[#This Row],[Data attribute qualified name]],"")</f>
        <v>coffee-machine--machine--mobile-data-usage</v>
      </c>
      <c r="I55" s="106" t="s">
        <v>284</v>
      </c>
      <c r="J55" s="82" t="s">
        <v>168</v>
      </c>
      <c r="K55" s="1"/>
      <c r="L55" s="1"/>
      <c r="M55" s="1"/>
      <c r="N55" s="1"/>
      <c r="O55" s="1"/>
    </row>
    <row r="56" spans="2:15" x14ac:dyDescent="0.3">
      <c r="B56">
        <v>55</v>
      </c>
      <c r="C56" s="81" t="s">
        <v>156</v>
      </c>
      <c r="D56" s="105" t="s">
        <v>252</v>
      </c>
      <c r="E56" s="82" t="s">
        <v>285</v>
      </c>
      <c r="F56" s="88" t="str">
        <f>IF(RIGHT(Table3[[#This Row],[Attribute Name]],1)=" ",LEFT(Table3[[#This Row],[Attribute Name]],(LEN(Table3[[#This Row],[Attribute Name]]))-1),Table3[[#This Row],[Attribute Name]])</f>
        <v>pairing date</v>
      </c>
      <c r="G56" s="2" t="str">
        <f t="shared" si="7"/>
        <v>pairing-date</v>
      </c>
      <c r="H56" s="33" t="str">
        <f>IF(Table3[[#This Row],[Unique entity qualified name]]&lt;&gt;"",Table3[[#This Row],[Unique entity qualified name]]&amp;"--"&amp;Table3[[#This Row],[Data attribute qualified name]],"")</f>
        <v>coffee-machine--machine--pairing-date</v>
      </c>
      <c r="I56" s="106" t="s">
        <v>286</v>
      </c>
      <c r="J56" s="82" t="s">
        <v>4</v>
      </c>
      <c r="K56" s="1"/>
      <c r="L56" s="1"/>
      <c r="M56" s="1"/>
      <c r="N56" s="1"/>
      <c r="O56" s="1"/>
    </row>
    <row r="57" spans="2:15" x14ac:dyDescent="0.3">
      <c r="B57">
        <v>56</v>
      </c>
      <c r="C57" s="81" t="s">
        <v>156</v>
      </c>
      <c r="D57" s="105" t="s">
        <v>252</v>
      </c>
      <c r="E57" s="82" t="s">
        <v>287</v>
      </c>
      <c r="F57" s="88" t="str">
        <f>IF(RIGHT(Table3[[#This Row],[Attribute Name]],1)=" ",LEFT(Table3[[#This Row],[Attribute Name]],(LEN(Table3[[#This Row],[Attribute Name]]))-1),Table3[[#This Row],[Attribute Name]])</f>
        <v>machine ID</v>
      </c>
      <c r="G57" s="2" t="str">
        <f t="shared" si="7"/>
        <v>machine-id</v>
      </c>
      <c r="H57" s="33" t="str">
        <f>IF(Table3[[#This Row],[Unique entity qualified name]]&lt;&gt;"",Table3[[#This Row],[Unique entity qualified name]]&amp;"--"&amp;Table3[[#This Row],[Data attribute qualified name]],"")</f>
        <v>coffee-machine--machine--machine-id</v>
      </c>
      <c r="I57" s="106" t="s">
        <v>288</v>
      </c>
      <c r="J57" s="82" t="s">
        <v>168</v>
      </c>
      <c r="K57" s="1"/>
      <c r="L57" s="1"/>
      <c r="M57" s="1"/>
      <c r="N57" s="1"/>
      <c r="O57" s="1"/>
    </row>
    <row r="58" spans="2:15" x14ac:dyDescent="0.3">
      <c r="B58">
        <v>57</v>
      </c>
      <c r="C58" s="81" t="s">
        <v>156</v>
      </c>
      <c r="D58" s="105" t="s">
        <v>252</v>
      </c>
      <c r="E58" s="82" t="s">
        <v>289</v>
      </c>
      <c r="F58" s="88" t="str">
        <f>IF(RIGHT(Table3[[#This Row],[Attribute Name]],1)=" ",LEFT(Table3[[#This Row],[Attribute Name]],(LEN(Table3[[#This Row],[Attribute Name]]))-1),Table3[[#This Row],[Attribute Name]])</f>
        <v>distributor ID</v>
      </c>
      <c r="G58" s="2" t="str">
        <f t="shared" si="7"/>
        <v>distributor-id</v>
      </c>
      <c r="H58" s="33" t="str">
        <f>IF(Table3[[#This Row],[Unique entity qualified name]]&lt;&gt;"",Table3[[#This Row],[Unique entity qualified name]]&amp;"--"&amp;Table3[[#This Row],[Data attribute qualified name]],"")</f>
        <v>coffee-machine--machine--distributor-id</v>
      </c>
      <c r="I58" s="106" t="s">
        <v>290</v>
      </c>
      <c r="J58" s="82" t="s">
        <v>168</v>
      </c>
      <c r="K58" s="1"/>
      <c r="L58" s="1"/>
      <c r="M58" s="1"/>
      <c r="N58" s="1"/>
      <c r="O58" s="1"/>
    </row>
    <row r="59" spans="2:15" x14ac:dyDescent="0.3">
      <c r="B59">
        <v>58</v>
      </c>
      <c r="C59" s="81" t="s">
        <v>134</v>
      </c>
      <c r="D59" s="105" t="s">
        <v>192</v>
      </c>
      <c r="E59" s="82" t="s">
        <v>291</v>
      </c>
      <c r="F59" s="88" t="str">
        <f>IF(RIGHT(Table3[[#This Row],[Attribute Name]],1)=" ",LEFT(Table3[[#This Row],[Attribute Name]],(LEN(Table3[[#This Row],[Attribute Name]]))-1),Table3[[#This Row],[Attribute Name]])</f>
        <v>event storage time</v>
      </c>
      <c r="G59" s="2" t="str">
        <f t="shared" si="7"/>
        <v>event-storage-time</v>
      </c>
      <c r="H59" s="33" t="str">
        <f>IF(Table3[[#This Row],[Unique entity qualified name]]&lt;&gt;"",Table3[[#This Row],[Unique entity qualified name]]&amp;"--"&amp;Table3[[#This Row],[Data attribute qualified name]],"")</f>
        <v>coffee-machine--machine-events--event-storage-time</v>
      </c>
      <c r="I59" s="106" t="s">
        <v>292</v>
      </c>
      <c r="J59" s="82" t="s">
        <v>4</v>
      </c>
      <c r="K59" s="1"/>
      <c r="L59" s="1"/>
      <c r="M59" s="1"/>
      <c r="N59" s="1"/>
      <c r="O59" s="1"/>
    </row>
    <row r="60" spans="2:15" x14ac:dyDescent="0.3">
      <c r="B60">
        <v>59</v>
      </c>
      <c r="C60" s="81" t="s">
        <v>134</v>
      </c>
      <c r="D60" s="105" t="s">
        <v>192</v>
      </c>
      <c r="E60" s="82" t="s">
        <v>293</v>
      </c>
      <c r="F60" s="88" t="str">
        <f>IF(RIGHT(Table3[[#This Row],[Attribute Name]],1)=" ",LEFT(Table3[[#This Row],[Attribute Name]],(LEN(Table3[[#This Row],[Attribute Name]]))-1),Table3[[#This Row],[Attribute Name]])</f>
        <v>event occurrence time</v>
      </c>
      <c r="G60" s="2" t="str">
        <f t="shared" si="7"/>
        <v>event-occurrence-time</v>
      </c>
      <c r="H60" s="33" t="str">
        <f>IF(Table3[[#This Row],[Unique entity qualified name]]&lt;&gt;"",Table3[[#This Row],[Unique entity qualified name]]&amp;"--"&amp;Table3[[#This Row],[Data attribute qualified name]],"")</f>
        <v>coffee-machine--machine-events--event-occurrence-time</v>
      </c>
      <c r="I60" s="106" t="s">
        <v>294</v>
      </c>
      <c r="J60" s="82" t="s">
        <v>4</v>
      </c>
      <c r="K60" s="1"/>
      <c r="L60" s="1"/>
      <c r="M60" s="1"/>
      <c r="N60" s="1"/>
      <c r="O60" s="1"/>
    </row>
    <row r="61" spans="2:15" x14ac:dyDescent="0.3">
      <c r="B61">
        <v>60</v>
      </c>
      <c r="C61" s="81" t="s">
        <v>149</v>
      </c>
      <c r="D61" s="105" t="s">
        <v>183</v>
      </c>
      <c r="E61" s="82" t="s">
        <v>295</v>
      </c>
      <c r="F61" s="88" t="str">
        <f>IF(RIGHT(Table3[[#This Row],[Attribute Name]],1)=" ",LEFT(Table3[[#This Row],[Attribute Name]],(LEN(Table3[[#This Row],[Attribute Name]]))-1),Table3[[#This Row],[Attribute Name]])</f>
        <v>hourly beverage count</v>
      </c>
      <c r="G61" s="2" t="str">
        <f t="shared" si="7"/>
        <v>hourly-beverage-count</v>
      </c>
      <c r="H61" s="33" t="str">
        <f>IF(Table3[[#This Row],[Unique entity qualified name]]&lt;&gt;"",Table3[[#This Row],[Unique entity qualified name]]&amp;"--"&amp;Table3[[#This Row],[Data attribute qualified name]],"")</f>
        <v>beverage-production--consumption-records--hourly-beverage-count</v>
      </c>
      <c r="I61" s="106" t="s">
        <v>296</v>
      </c>
      <c r="J61" s="82" t="s">
        <v>174</v>
      </c>
      <c r="K61" s="1"/>
      <c r="L61" s="1"/>
      <c r="M61" s="1"/>
      <c r="N61" s="1"/>
      <c r="O61" s="1"/>
    </row>
    <row r="62" spans="2:15" x14ac:dyDescent="0.3">
      <c r="B62">
        <v>61</v>
      </c>
      <c r="C62" s="81" t="s">
        <v>134</v>
      </c>
      <c r="D62" s="105" t="s">
        <v>192</v>
      </c>
      <c r="E62" s="82" t="s">
        <v>297</v>
      </c>
      <c r="F62" s="88" t="str">
        <f>IF(RIGHT(Table3[[#This Row],[Attribute Name]],1)=" ",LEFT(Table3[[#This Row],[Attribute Name]],(LEN(Table3[[#This Row],[Attribute Name]]))-1),Table3[[#This Row],[Attribute Name]])</f>
        <v>hour start time</v>
      </c>
      <c r="G62" s="2" t="str">
        <f t="shared" si="7"/>
        <v>hour-start-time</v>
      </c>
      <c r="H62" s="33" t="str">
        <f>IF(Table3[[#This Row],[Unique entity qualified name]]&lt;&gt;"",Table3[[#This Row],[Unique entity qualified name]]&amp;"--"&amp;Table3[[#This Row],[Data attribute qualified name]],"")</f>
        <v>coffee-machine--machine-events--hour-start-time</v>
      </c>
      <c r="I62" s="106" t="s">
        <v>298</v>
      </c>
      <c r="J62" s="82" t="s">
        <v>4</v>
      </c>
      <c r="K62" s="1"/>
      <c r="L62" s="1"/>
      <c r="M62" s="1"/>
      <c r="N62" s="1"/>
      <c r="O62" s="1"/>
    </row>
    <row r="63" spans="2:15" x14ac:dyDescent="0.3">
      <c r="B63">
        <v>62</v>
      </c>
      <c r="C63" s="81" t="s">
        <v>149</v>
      </c>
      <c r="D63" s="105" t="s">
        <v>183</v>
      </c>
      <c r="E63" s="82" t="s">
        <v>299</v>
      </c>
      <c r="F63" s="88" t="str">
        <f>IF(RIGHT(Table3[[#This Row],[Attribute Name]],1)=" ",LEFT(Table3[[#This Row],[Attribute Name]],(LEN(Table3[[#This Row],[Attribute Name]]))-1),Table3[[#This Row],[Attribute Name]])</f>
        <v>aggregation time</v>
      </c>
      <c r="G63" s="2" t="str">
        <f t="shared" si="7"/>
        <v>aggregation-time</v>
      </c>
      <c r="H63" s="33" t="str">
        <f>IF(Table3[[#This Row],[Unique entity qualified name]]&lt;&gt;"",Table3[[#This Row],[Unique entity qualified name]]&amp;"--"&amp;Table3[[#This Row],[Data attribute qualified name]],"")</f>
        <v>beverage-production--consumption-records--aggregation-time</v>
      </c>
      <c r="I63" s="106" t="s">
        <v>300</v>
      </c>
      <c r="J63" s="82" t="s">
        <v>4</v>
      </c>
      <c r="K63" s="1"/>
      <c r="L63" s="1"/>
      <c r="M63" s="1"/>
      <c r="N63" s="1"/>
      <c r="O63" s="1"/>
    </row>
    <row r="64" spans="2:15" x14ac:dyDescent="0.3">
      <c r="B64">
        <v>63</v>
      </c>
      <c r="C64" s="81" t="s">
        <v>160</v>
      </c>
      <c r="D64" s="105" t="s">
        <v>301</v>
      </c>
      <c r="E64" s="82" t="s">
        <v>302</v>
      </c>
      <c r="F64" s="88" t="str">
        <f>IF(RIGHT(Table3[[#This Row],[Attribute Name]],1)=" ",LEFT(Table3[[#This Row],[Attribute Name]],(LEN(Table3[[#This Row],[Attribute Name]]))-1),Table3[[#This Row],[Attribute Name]])</f>
        <v>update notification ID</v>
      </c>
      <c r="G64" s="2" t="str">
        <f t="shared" si="7"/>
        <v>update-notification-id</v>
      </c>
      <c r="H64" s="33" t="str">
        <f>IF(Table3[[#This Row],[Unique entity qualified name]]&lt;&gt;"",Table3[[#This Row],[Unique entity qualified name]]&amp;"--"&amp;Table3[[#This Row],[Data attribute qualified name]],"")</f>
        <v>product-asset-management--recipe-update--update-notification-id</v>
      </c>
      <c r="I64" s="106" t="s">
        <v>303</v>
      </c>
      <c r="J64" s="82" t="s">
        <v>168</v>
      </c>
      <c r="K64" s="1"/>
      <c r="L64" s="1"/>
      <c r="M64" s="1"/>
      <c r="N64" s="1"/>
      <c r="O64" s="1"/>
    </row>
    <row r="65" spans="2:15" x14ac:dyDescent="0.3">
      <c r="B65">
        <v>64</v>
      </c>
      <c r="C65" s="81" t="s">
        <v>160</v>
      </c>
      <c r="D65" s="105" t="s">
        <v>301</v>
      </c>
      <c r="E65" s="82" t="s">
        <v>304</v>
      </c>
      <c r="F65" s="88" t="str">
        <f>IF(RIGHT(Table3[[#This Row],[Attribute Name]],1)=" ",LEFT(Table3[[#This Row],[Attribute Name]],(LEN(Table3[[#This Row],[Attribute Name]]))-1),Table3[[#This Row],[Attribute Name]])</f>
        <v>notification sent time</v>
      </c>
      <c r="G65" s="2" t="str">
        <f t="shared" si="7"/>
        <v>notification-sent-time</v>
      </c>
      <c r="H65" s="33" t="str">
        <f>IF(Table3[[#This Row],[Unique entity qualified name]]&lt;&gt;"",Table3[[#This Row],[Unique entity qualified name]]&amp;"--"&amp;Table3[[#This Row],[Data attribute qualified name]],"")</f>
        <v>product-asset-management--recipe-update--notification-sent-time</v>
      </c>
      <c r="I65" s="106" t="s">
        <v>305</v>
      </c>
      <c r="J65" s="82" t="s">
        <v>4</v>
      </c>
      <c r="K65" s="1"/>
      <c r="L65" s="1"/>
      <c r="M65" s="1"/>
      <c r="N65" s="1"/>
      <c r="O65" s="1"/>
    </row>
    <row r="66" spans="2:15" x14ac:dyDescent="0.3">
      <c r="B66">
        <v>65</v>
      </c>
      <c r="C66" s="81" t="s">
        <v>144</v>
      </c>
      <c r="D66" s="105" t="s">
        <v>171</v>
      </c>
      <c r="E66" s="82" t="s">
        <v>306</v>
      </c>
      <c r="F66" s="88" t="str">
        <f>IF(RIGHT(Table3[[#This Row],[Attribute Name]],1)=" ",LEFT(Table3[[#This Row],[Attribute Name]],(LEN(Table3[[#This Row],[Attribute Name]]))-1),Table3[[#This Row],[Attribute Name]])</f>
        <v>recipe ID</v>
      </c>
      <c r="G66" s="2" t="str">
        <f t="shared" si="7"/>
        <v>recipe-id</v>
      </c>
      <c r="H66" s="33" t="str">
        <f>IF(Table3[[#This Row],[Unique entity qualified name]]&lt;&gt;"",Table3[[#This Row],[Unique entity qualified name]]&amp;"--"&amp;Table3[[#This Row],[Data attribute qualified name]],"")</f>
        <v>coffee-machine----machine-recipe--recipe-id</v>
      </c>
      <c r="I66" s="106" t="s">
        <v>307</v>
      </c>
      <c r="J66" s="82" t="s">
        <v>168</v>
      </c>
      <c r="K66" s="1"/>
      <c r="L66" s="1"/>
      <c r="M66" s="1"/>
      <c r="N66" s="1"/>
      <c r="O66" s="1"/>
    </row>
    <row r="67" spans="2:15" x14ac:dyDescent="0.3">
      <c r="B67">
        <v>66</v>
      </c>
      <c r="C67" s="81" t="s">
        <v>160</v>
      </c>
      <c r="D67" s="105" t="s">
        <v>301</v>
      </c>
      <c r="E67" s="82" t="s">
        <v>308</v>
      </c>
      <c r="F67" s="88" t="str">
        <f>IF(RIGHT(Table3[[#This Row],[Attribute Name]],1)=" ",LEFT(Table3[[#This Row],[Attribute Name]],(LEN(Table3[[#This Row],[Attribute Name]]))-1),Table3[[#This Row],[Attribute Name]])</f>
        <v>recipe target version</v>
      </c>
      <c r="G67" s="2" t="str">
        <f t="shared" si="7"/>
        <v>recipe-target-version</v>
      </c>
      <c r="H67" s="33" t="str">
        <f>IF(Table3[[#This Row],[Unique entity qualified name]]&lt;&gt;"",Table3[[#This Row],[Unique entity qualified name]]&amp;"--"&amp;Table3[[#This Row],[Data attribute qualified name]],"")</f>
        <v>product-asset-management--recipe-update--recipe-target-version</v>
      </c>
      <c r="I67" s="106" t="s">
        <v>309</v>
      </c>
      <c r="J67" s="82" t="s">
        <v>168</v>
      </c>
      <c r="K67" s="1"/>
      <c r="L67" s="1"/>
      <c r="M67" s="1"/>
      <c r="N67" s="1"/>
      <c r="O67" s="1"/>
    </row>
    <row r="68" spans="2:15" x14ac:dyDescent="0.3">
      <c r="B68">
        <v>67</v>
      </c>
      <c r="C68" s="81" t="s">
        <v>160</v>
      </c>
      <c r="D68" s="105" t="s">
        <v>301</v>
      </c>
      <c r="E68" s="82" t="s">
        <v>310</v>
      </c>
      <c r="F68" s="88" t="str">
        <f>IF(RIGHT(Table3[[#This Row],[Attribute Name]],1)=" ",LEFT(Table3[[#This Row],[Attribute Name]],(LEN(Table3[[#This Row],[Attribute Name]]))-1),Table3[[#This Row],[Attribute Name]])</f>
        <v>update artifact location</v>
      </c>
      <c r="G68" s="2" t="str">
        <f t="shared" si="7"/>
        <v>update-artifact-location</v>
      </c>
      <c r="H68" s="33" t="str">
        <f>IF(Table3[[#This Row],[Unique entity qualified name]]&lt;&gt;"",Table3[[#This Row],[Unique entity qualified name]]&amp;"--"&amp;Table3[[#This Row],[Data attribute qualified name]],"")</f>
        <v>product-asset-management--recipe-update--update-artifact-location</v>
      </c>
      <c r="I68" s="106" t="s">
        <v>311</v>
      </c>
      <c r="J68" s="82" t="s">
        <v>168</v>
      </c>
      <c r="K68" s="1"/>
      <c r="L68" s="1"/>
      <c r="M68" s="1"/>
      <c r="N68" s="1"/>
      <c r="O68" s="1"/>
    </row>
    <row r="69" spans="2:15" ht="27.6" x14ac:dyDescent="0.3">
      <c r="B69">
        <v>68</v>
      </c>
      <c r="C69" s="81" t="s">
        <v>160</v>
      </c>
      <c r="D69" s="105" t="s">
        <v>301</v>
      </c>
      <c r="E69" s="82" t="s">
        <v>312</v>
      </c>
      <c r="F69" s="88" t="str">
        <f>IF(RIGHT(Table3[[#This Row],[Attribute Name]],1)=" ",LEFT(Table3[[#This Row],[Attribute Name]],(LEN(Table3[[#This Row],[Attribute Name]]))-1),Table3[[#This Row],[Attribute Name]])</f>
        <v>update artifact checksum</v>
      </c>
      <c r="G69" s="2" t="str">
        <f t="shared" si="7"/>
        <v>update-artifact-checksum</v>
      </c>
      <c r="H69" s="33" t="str">
        <f>IF(Table3[[#This Row],[Unique entity qualified name]]&lt;&gt;"",Table3[[#This Row],[Unique entity qualified name]]&amp;"--"&amp;Table3[[#This Row],[Data attribute qualified name]],"")</f>
        <v>product-asset-management--recipe-update--update-artifact-checksum</v>
      </c>
      <c r="I69" s="106" t="s">
        <v>313</v>
      </c>
      <c r="J69" s="82" t="s">
        <v>168</v>
      </c>
      <c r="K69" s="1"/>
      <c r="L69" s="1"/>
      <c r="M69" s="1"/>
      <c r="N69" s="1"/>
      <c r="O69" s="1"/>
    </row>
    <row r="70" spans="2:15" x14ac:dyDescent="0.3">
      <c r="B70">
        <v>69</v>
      </c>
      <c r="C70" s="81" t="s">
        <v>160</v>
      </c>
      <c r="D70" s="105" t="s">
        <v>301</v>
      </c>
      <c r="E70" s="82" t="s">
        <v>314</v>
      </c>
      <c r="F70" s="88" t="str">
        <f>IF(RIGHT(Table3[[#This Row],[Attribute Name]],1)=" ",LEFT(Table3[[#This Row],[Attribute Name]],(LEN(Table3[[#This Row],[Attribute Name]]))-1),Table3[[#This Row],[Attribute Name]])</f>
        <v>update artifact size</v>
      </c>
      <c r="G70" s="2" t="str">
        <f t="shared" si="7"/>
        <v>update-artifact-size</v>
      </c>
      <c r="H70" s="33" t="str">
        <f>IF(Table3[[#This Row],[Unique entity qualified name]]&lt;&gt;"",Table3[[#This Row],[Unique entity qualified name]]&amp;"--"&amp;Table3[[#This Row],[Data attribute qualified name]],"")</f>
        <v>product-asset-management--recipe-update--update-artifact-size</v>
      </c>
      <c r="I70" s="106" t="s">
        <v>315</v>
      </c>
      <c r="J70" s="82" t="s">
        <v>174</v>
      </c>
      <c r="K70" s="1"/>
      <c r="L70" s="1"/>
      <c r="M70" s="1"/>
      <c r="N70" s="1"/>
      <c r="O70" s="1"/>
    </row>
    <row r="71" spans="2:15" x14ac:dyDescent="0.3">
      <c r="B71">
        <v>70</v>
      </c>
      <c r="C71" s="81" t="s">
        <v>160</v>
      </c>
      <c r="D71" s="105" t="s">
        <v>301</v>
      </c>
      <c r="E71" s="82" t="s">
        <v>316</v>
      </c>
      <c r="F71" s="88" t="str">
        <f>IF(RIGHT(Table3[[#This Row],[Attribute Name]],1)=" ",LEFT(Table3[[#This Row],[Attribute Name]],(LEN(Table3[[#This Row],[Attribute Name]]))-1),Table3[[#This Row],[Attribute Name]])</f>
        <v>update mandatory</v>
      </c>
      <c r="G71" s="2" t="str">
        <f t="shared" si="7"/>
        <v>update-mandatory</v>
      </c>
      <c r="H71" s="33" t="str">
        <f>IF(Table3[[#This Row],[Unique entity qualified name]]&lt;&gt;"",Table3[[#This Row],[Unique entity qualified name]]&amp;"--"&amp;Table3[[#This Row],[Data attribute qualified name]],"")</f>
        <v>product-asset-management--recipe-update--update-mandatory</v>
      </c>
      <c r="I71" s="106" t="s">
        <v>317</v>
      </c>
      <c r="J71" s="82" t="s">
        <v>168</v>
      </c>
      <c r="K71" s="1"/>
      <c r="L71" s="1"/>
      <c r="M71" s="1"/>
      <c r="N71" s="1"/>
      <c r="O71" s="1"/>
    </row>
    <row r="72" spans="2:15" x14ac:dyDescent="0.3">
      <c r="B72">
        <v>71</v>
      </c>
      <c r="C72" s="84" t="s">
        <v>160</v>
      </c>
      <c r="D72" s="105" t="s">
        <v>301</v>
      </c>
      <c r="E72" s="85" t="s">
        <v>318</v>
      </c>
      <c r="F72" s="88" t="str">
        <f>IF(RIGHT(Table3[[#This Row],[Attribute Name]],1)=" ",LEFT(Table3[[#This Row],[Attribute Name]],(LEN(Table3[[#This Row],[Attribute Name]]))-1),Table3[[#This Row],[Attribute Name]])</f>
        <v>update notes</v>
      </c>
      <c r="G72" s="2" t="str">
        <f t="shared" si="7"/>
        <v>update-notes</v>
      </c>
      <c r="H72" s="33" t="str">
        <f>IF(Table3[[#This Row],[Unique entity qualified name]]&lt;&gt;"",Table3[[#This Row],[Unique entity qualified name]]&amp;"--"&amp;Table3[[#This Row],[Data attribute qualified name]],"")</f>
        <v>product-asset-management--recipe-update--update-notes</v>
      </c>
      <c r="I72" s="107" t="s">
        <v>319</v>
      </c>
      <c r="J72" s="85" t="s">
        <v>168</v>
      </c>
      <c r="K72" s="83"/>
      <c r="L72" s="83"/>
      <c r="M72" s="83"/>
      <c r="N72" s="83"/>
      <c r="O72" s="83"/>
    </row>
  </sheetData>
  <dataConsolidate/>
  <phoneticPr fontId="3" type="noConversion"/>
  <conditionalFormatting sqref="H2 H6 H11:H19">
    <cfRule type="cellIs" dxfId="5" priority="8" operator="notEqual">
      <formula>""""""</formula>
    </cfRule>
  </conditionalFormatting>
  <conditionalFormatting sqref="H7:H8">
    <cfRule type="cellIs" dxfId="4" priority="7" operator="notEqual">
      <formula>""""""</formula>
    </cfRule>
  </conditionalFormatting>
  <conditionalFormatting sqref="H9:H10">
    <cfRule type="cellIs" dxfId="3" priority="6" operator="notEqual">
      <formula>""""""</formula>
    </cfRule>
  </conditionalFormatting>
  <conditionalFormatting sqref="H3:H5">
    <cfRule type="cellIs" dxfId="2" priority="2" operator="notEqual">
      <formula>""""""</formula>
    </cfRule>
  </conditionalFormatting>
  <dataValidations count="4">
    <dataValidation type="list" allowBlank="1" showInputMessage="1" showErrorMessage="1" sqref="L2:L72" xr:uid="{0746EC8E-9B35-4EE9-ABEA-786F1F95B162}">
      <formula1>"Low,Medium,High"</formula1>
    </dataValidation>
    <dataValidation type="list" allowBlank="1" showInputMessage="1" showErrorMessage="1" sqref="M2:M72" xr:uid="{9FB00899-7423-46A5-B9D9-927E6683B5F4}">
      <formula1>"Yes,No"</formula1>
    </dataValidation>
    <dataValidation type="list" allowBlank="1" showInputMessage="1" showErrorMessage="1" sqref="J1 J20:J1048576" xr:uid="{C736C051-2966-4C7F-95DB-0B8CE4B2015A}">
      <formula1>"Numeric, Text, Date"</formula1>
    </dataValidation>
    <dataValidation type="list" allowBlank="1" showInputMessage="1" showErrorMessage="1" sqref="J2:J19" xr:uid="{95221B85-A36F-4D1C-BC12-B548C5F21BCA}">
      <formula1>"Numeric, Text, Date, Array"</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376B835-9A12-485E-B34B-2D8907F210F2}">
          <x14:formula1>
            <xm:f>'9. Person Table'!$D$2:$D$6</xm:f>
          </x14:formula1>
          <xm:sqref>N12:O22 N11 N2:O10</xm:sqref>
        </x14:dataValidation>
        <x14:dataValidation type="list" allowBlank="1" showInputMessage="1" showErrorMessage="1" xr:uid="{BF8FCBC4-779F-4D4F-ADD9-A1028361BC40}">
          <x14:formula1>
            <xm:f>'2. L2 Data Entities'!$E:$E</xm:f>
          </x14:formula1>
          <xm:sqref>D73:D1048576 D2:D72</xm:sqref>
        </x14:dataValidation>
        <x14:dataValidation type="list" allowBlank="1" showInputMessage="1" showErrorMessage="1" xr:uid="{C407BF55-A04E-41B3-96CA-6A341B24E95C}">
          <x14:formula1>
            <xm:f>'2. L2 Data Entities'!$F$2:$F$12</xm:f>
          </x14:formula1>
          <xm:sqref>C2:C72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8976D-C17D-43CA-BBF7-C7CA6FC8A2A4}">
  <sheetPr codeName="Sheet8"/>
  <dimension ref="A1:Q136"/>
  <sheetViews>
    <sheetView zoomScale="80" zoomScaleNormal="115" workbookViewId="0">
      <selection activeCell="H129" sqref="H129"/>
    </sheetView>
  </sheetViews>
  <sheetFormatPr defaultRowHeight="14.4" x14ac:dyDescent="0.3"/>
  <cols>
    <col min="2" max="2" width="17" style="31" customWidth="1"/>
    <col min="3" max="3" width="22.109375" style="31" customWidth="1"/>
    <col min="4" max="4" width="106.6640625" style="31" customWidth="1"/>
    <col min="5" max="5" width="27.5546875" style="31" customWidth="1"/>
    <col min="6" max="6" width="43.5546875" style="33" customWidth="1"/>
    <col min="7" max="7" width="41.5546875" style="31" bestFit="1" customWidth="1"/>
    <col min="8" max="8" width="37.33203125" style="33" bestFit="1" customWidth="1"/>
    <col min="9" max="9" width="63" style="31" bestFit="1" customWidth="1"/>
    <col min="10" max="10" width="53.44140625" style="33" customWidth="1"/>
    <col min="11" max="11" width="76.109375" style="33" bestFit="1" customWidth="1"/>
    <col min="12" max="12" width="25.33203125" style="31" bestFit="1" customWidth="1"/>
    <col min="13" max="13" width="45.33203125" style="31" bestFit="1" customWidth="1"/>
    <col min="14" max="14" width="66.88671875" style="31" bestFit="1" customWidth="1"/>
    <col min="15" max="15" width="45.33203125" style="32" customWidth="1"/>
    <col min="16" max="16" width="11.33203125" style="31" customWidth="1"/>
    <col min="17" max="17" width="21.6640625" style="31" bestFit="1" customWidth="1"/>
  </cols>
  <sheetData>
    <row r="1" spans="2:17" x14ac:dyDescent="0.3">
      <c r="B1" t="s">
        <v>15</v>
      </c>
      <c r="C1" s="31" t="s">
        <v>50</v>
      </c>
      <c r="D1" t="s">
        <v>52</v>
      </c>
      <c r="E1" t="s">
        <v>68</v>
      </c>
      <c r="F1" s="31" t="s">
        <v>320</v>
      </c>
      <c r="G1" t="s">
        <v>70</v>
      </c>
      <c r="H1" s="31" t="s">
        <v>321</v>
      </c>
      <c r="I1" t="s">
        <v>72</v>
      </c>
      <c r="J1" s="31" t="s">
        <v>322</v>
      </c>
      <c r="K1" s="31" t="s">
        <v>323</v>
      </c>
      <c r="L1" t="s">
        <v>74</v>
      </c>
      <c r="M1" s="31" t="s">
        <v>324</v>
      </c>
      <c r="N1" s="31" t="s">
        <v>76</v>
      </c>
      <c r="O1" t="s">
        <v>23</v>
      </c>
      <c r="P1" t="s">
        <v>80</v>
      </c>
      <c r="Q1" t="s">
        <v>82</v>
      </c>
    </row>
    <row r="2" spans="2:17" x14ac:dyDescent="0.3">
      <c r="B2">
        <v>1</v>
      </c>
      <c r="C2" s="31" t="s">
        <v>166</v>
      </c>
      <c r="D2" t="s">
        <v>325</v>
      </c>
      <c r="E2" t="s">
        <v>326</v>
      </c>
      <c r="F2" s="33" t="str">
        <f t="shared" ref="F2:F4" si="0">SUBSTITUTE(SUBSTITUTE(SUBSTITUTE(SUBSTITUTE(LOWER(E2),"&amp;",""),"-",""),"  ","-")," ","-")</f>
        <v>mqtt</v>
      </c>
      <c r="G2" t="s">
        <v>327</v>
      </c>
      <c r="H2" s="33" t="str">
        <f t="shared" ref="H2:H3" si="1">SUBSTITUTE(SUBSTITUTE(SUBSTITUTE(SUBSTITUTE(LOWER(G2),"&amp;",""),"-",""),"  ","-")," ","-")</f>
        <v>machine/controller</v>
      </c>
      <c r="I2" t="s">
        <v>328</v>
      </c>
      <c r="J2" s="33" t="str">
        <f>SUBSTITUTE(SUBSTITUTE(SUBSTITUTE(SUBSTITUTE(LOWER(I2),"&amp;",""),"-",""),"  ","-")," ","-")</f>
        <v>order</v>
      </c>
      <c r="K2" s="33" t="str">
        <f>Table4[[#This Row],[Intermediate Qualified System Name]]&amp;"--"&amp;Table4[[#This Row],[Collection Intermediate Qualified Name]]&amp;"--"&amp;Table4[[#This Row],[Dataset Intermediate Qualified Name]]</f>
        <v>mqtt--machine/controller--order</v>
      </c>
      <c r="L2" t="s">
        <v>329</v>
      </c>
      <c r="M2" s="33" t="str">
        <f t="shared" ref="M2" si="2">SUBSTITUTE(SUBSTITUTE(SUBSTITUTE(LOWER(L2),"&amp;",""),"  ","-")," ","-")</f>
        <v>beverage</v>
      </c>
      <c r="N2" s="33" t="str">
        <f>Table4[[#This Row],[Intermediate Qualified System Name]]&amp;"--"&amp;Table4[[#This Row],[Collection Intermediate Qualified Name]]&amp;"--"&amp;Table4[[#This Row],[Dataset Intermediate Qualified Name]]&amp;"--"&amp;Table4[[#This Row],[Field Intermediate Qualified Name]]</f>
        <v>mqtt--machine/controller--order--beverage</v>
      </c>
      <c r="O2"/>
      <c r="P2" t="s">
        <v>168</v>
      </c>
      <c r="Q2"/>
    </row>
    <row r="3" spans="2:17" x14ac:dyDescent="0.3">
      <c r="B3">
        <v>2</v>
      </c>
      <c r="C3" s="31" t="s">
        <v>169</v>
      </c>
      <c r="D3" t="s">
        <v>330</v>
      </c>
      <c r="E3" t="s">
        <v>326</v>
      </c>
      <c r="F3" s="33" t="str">
        <f>SUBSTITUTE(SUBSTITUTE(SUBSTITUTE(SUBSTITUTE(LOWER(E3),"&amp;",""),"-",""),"  ","-")," ","-")</f>
        <v>mqtt</v>
      </c>
      <c r="G3" t="s">
        <v>327</v>
      </c>
      <c r="H3" s="33" t="str">
        <f t="shared" si="1"/>
        <v>machine/controller</v>
      </c>
      <c r="I3" t="s">
        <v>328</v>
      </c>
      <c r="J3" s="33" t="str">
        <f t="shared" ref="J3:J23" si="3">SUBSTITUTE(SUBSTITUTE(SUBSTITUTE(SUBSTITUTE(LOWER(I3),"&amp;",""),"-",""),"  ","-")," ","-")</f>
        <v>order</v>
      </c>
      <c r="K3" s="33" t="str">
        <f>Table4[[#This Row],[Intermediate Qualified System Name]]&amp;"--"&amp;Table4[[#This Row],[Collection Intermediate Qualified Name]]&amp;"--"&amp;Table4[[#This Row],[Dataset Intermediate Qualified Name]]</f>
        <v>mqtt--machine/controller--order</v>
      </c>
      <c r="L3" t="s">
        <v>169</v>
      </c>
      <c r="M3" s="33" t="str">
        <f t="shared" ref="M3:M23" si="4">SUBSTITUTE(SUBSTITUTE(SUBSTITUTE(LOWER(L3),"&amp;",""),"  ","-")," ","-")</f>
        <v>volume</v>
      </c>
      <c r="N3" s="33" t="str">
        <f>Table4[[#This Row],[Intermediate Qualified System Name]]&amp;"--"&amp;Table4[[#This Row],[Collection Intermediate Qualified Name]]&amp;"--"&amp;Table4[[#This Row],[Dataset Intermediate Qualified Name]]&amp;"--"&amp;Table4[[#This Row],[Field Intermediate Qualified Name]]</f>
        <v>mqtt--machine/controller--order--volume</v>
      </c>
      <c r="O3"/>
      <c r="P3" s="31" t="s">
        <v>168</v>
      </c>
      <c r="Q3"/>
    </row>
    <row r="4" spans="2:17" x14ac:dyDescent="0.3">
      <c r="B4">
        <v>3</v>
      </c>
      <c r="C4" s="31" t="s">
        <v>172</v>
      </c>
      <c r="D4" t="s">
        <v>331</v>
      </c>
      <c r="E4" t="s">
        <v>326</v>
      </c>
      <c r="F4" s="33" t="str">
        <f t="shared" si="0"/>
        <v>mqtt</v>
      </c>
      <c r="G4" t="s">
        <v>327</v>
      </c>
      <c r="H4" s="33" t="str">
        <f t="shared" ref="H4:H45" si="5">SUBSTITUTE(SUBSTITUTE(SUBSTITUTE(SUBSTITUTE(LOWER(G4),"&amp;",""),"-",""),"  ","-")," ","-")</f>
        <v>machine/controller</v>
      </c>
      <c r="I4" t="s">
        <v>328</v>
      </c>
      <c r="J4" s="33" t="str">
        <f t="shared" si="3"/>
        <v>order</v>
      </c>
      <c r="K4" s="33" t="str">
        <f>Table4[[#This Row],[Intermediate Qualified System Name]]&amp;"--"&amp;Table4[[#This Row],[Collection Intermediate Qualified Name]]&amp;"--"&amp;Table4[[#This Row],[Dataset Intermediate Qualified Name]]</f>
        <v>mqtt--machine/controller--order</v>
      </c>
      <c r="L4" t="s">
        <v>172</v>
      </c>
      <c r="M4" s="33" t="str">
        <f t="shared" si="4"/>
        <v>ml</v>
      </c>
      <c r="N4" s="33" t="str">
        <f>Table4[[#This Row],[Intermediate Qualified System Name]]&amp;"--"&amp;Table4[[#This Row],[Collection Intermediate Qualified Name]]&amp;"--"&amp;Table4[[#This Row],[Dataset Intermediate Qualified Name]]&amp;"--"&amp;Table4[[#This Row],[Field Intermediate Qualified Name]]</f>
        <v>mqtt--machine/controller--order--ml</v>
      </c>
      <c r="O4"/>
      <c r="P4" t="s">
        <v>174</v>
      </c>
      <c r="Q4"/>
    </row>
    <row r="5" spans="2:17" x14ac:dyDescent="0.3">
      <c r="B5">
        <v>4</v>
      </c>
      <c r="C5" s="31" t="s">
        <v>175</v>
      </c>
      <c r="D5" t="s">
        <v>332</v>
      </c>
      <c r="E5" t="s">
        <v>326</v>
      </c>
      <c r="F5" s="33" t="str">
        <f t="shared" ref="F5:F45" si="6">SUBSTITUTE(SUBSTITUTE(SUBSTITUTE(SUBSTITUTE(LOWER(E5),"&amp;",""),"-",""),"  ","-")," ","-")</f>
        <v>mqtt</v>
      </c>
      <c r="G5" t="s">
        <v>327</v>
      </c>
      <c r="H5" s="33" t="str">
        <f t="shared" si="5"/>
        <v>machine/controller</v>
      </c>
      <c r="I5" t="s">
        <v>328</v>
      </c>
      <c r="J5" s="33" t="str">
        <f t="shared" si="3"/>
        <v>order</v>
      </c>
      <c r="K5" s="33" t="str">
        <f>Table4[[#This Row],[Intermediate Qualified System Name]]&amp;"--"&amp;Table4[[#This Row],[Collection Intermediate Qualified Name]]&amp;"--"&amp;Table4[[#This Row],[Dataset Intermediate Qualified Name]]</f>
        <v>mqtt--machine/controller--order</v>
      </c>
      <c r="L5" t="s">
        <v>175</v>
      </c>
      <c r="M5" s="33" t="str">
        <f t="shared" si="4"/>
        <v>strength</v>
      </c>
      <c r="N5" s="33" t="str">
        <f>Table4[[#This Row],[Intermediate Qualified System Name]]&amp;"--"&amp;Table4[[#This Row],[Collection Intermediate Qualified Name]]&amp;"--"&amp;Table4[[#This Row],[Dataset Intermediate Qualified Name]]&amp;"--"&amp;Table4[[#This Row],[Field Intermediate Qualified Name]]</f>
        <v>mqtt--machine/controller--order--strength</v>
      </c>
      <c r="O5"/>
      <c r="P5" t="s">
        <v>174</v>
      </c>
      <c r="Q5"/>
    </row>
    <row r="6" spans="2:17" x14ac:dyDescent="0.3">
      <c r="B6">
        <v>5</v>
      </c>
      <c r="C6" s="31" t="s">
        <v>177</v>
      </c>
      <c r="D6" t="s">
        <v>333</v>
      </c>
      <c r="E6" t="s">
        <v>326</v>
      </c>
      <c r="F6" s="33" t="str">
        <f t="shared" si="6"/>
        <v>mqtt</v>
      </c>
      <c r="G6" t="s">
        <v>327</v>
      </c>
      <c r="H6" s="33" t="str">
        <f t="shared" si="5"/>
        <v>machine/controller</v>
      </c>
      <c r="I6" t="s">
        <v>328</v>
      </c>
      <c r="J6" s="33" t="str">
        <f t="shared" si="3"/>
        <v>order</v>
      </c>
      <c r="K6" s="33" t="str">
        <f>Table4[[#This Row],[Intermediate Qualified System Name]]&amp;"--"&amp;Table4[[#This Row],[Collection Intermediate Qualified Name]]&amp;"--"&amp;Table4[[#This Row],[Dataset Intermediate Qualified Name]]</f>
        <v>mqtt--machine/controller--order</v>
      </c>
      <c r="L6" t="s">
        <v>334</v>
      </c>
      <c r="M6" s="33" t="str">
        <f t="shared" si="4"/>
        <v>etc</v>
      </c>
      <c r="N6" s="33" t="str">
        <f>Table4[[#This Row],[Intermediate Qualified System Name]]&amp;"--"&amp;Table4[[#This Row],[Collection Intermediate Qualified Name]]&amp;"--"&amp;Table4[[#This Row],[Dataset Intermediate Qualified Name]]&amp;"--"&amp;Table4[[#This Row],[Field Intermediate Qualified Name]]</f>
        <v>mqtt--machine/controller--order--etc</v>
      </c>
      <c r="O6"/>
      <c r="P6" t="s">
        <v>174</v>
      </c>
      <c r="Q6"/>
    </row>
    <row r="7" spans="2:17" x14ac:dyDescent="0.3">
      <c r="B7">
        <v>6</v>
      </c>
      <c r="C7" s="31" t="s">
        <v>179</v>
      </c>
      <c r="D7" t="s">
        <v>335</v>
      </c>
      <c r="E7" t="s">
        <v>326</v>
      </c>
      <c r="F7" s="33" t="str">
        <f t="shared" si="6"/>
        <v>mqtt</v>
      </c>
      <c r="G7" t="s">
        <v>327</v>
      </c>
      <c r="H7" s="33" t="str">
        <f t="shared" si="5"/>
        <v>machine/controller</v>
      </c>
      <c r="I7" t="s">
        <v>328</v>
      </c>
      <c r="J7" s="33" t="str">
        <f t="shared" si="3"/>
        <v>order</v>
      </c>
      <c r="K7" s="33" t="str">
        <f>Table4[[#This Row],[Intermediate Qualified System Name]]&amp;"--"&amp;Table4[[#This Row],[Collection Intermediate Qualified Name]]&amp;"--"&amp;Table4[[#This Row],[Dataset Intermediate Qualified Name]]</f>
        <v>mqtt--machine/controller--order</v>
      </c>
      <c r="L7" t="s">
        <v>179</v>
      </c>
      <c r="M7" s="33" t="str">
        <f t="shared" si="4"/>
        <v>sugar</v>
      </c>
      <c r="N7" s="33" t="str">
        <f>Table4[[#This Row],[Intermediate Qualified System Name]]&amp;"--"&amp;Table4[[#This Row],[Collection Intermediate Qualified Name]]&amp;"--"&amp;Table4[[#This Row],[Dataset Intermediate Qualified Name]]&amp;"--"&amp;Table4[[#This Row],[Field Intermediate Qualified Name]]</f>
        <v>mqtt--machine/controller--order--sugar</v>
      </c>
      <c r="O7"/>
      <c r="P7" t="s">
        <v>174</v>
      </c>
      <c r="Q7"/>
    </row>
    <row r="8" spans="2:17" x14ac:dyDescent="0.3">
      <c r="B8">
        <v>7</v>
      </c>
      <c r="C8" s="31" t="s">
        <v>181</v>
      </c>
      <c r="D8" t="s">
        <v>336</v>
      </c>
      <c r="E8" t="s">
        <v>326</v>
      </c>
      <c r="F8" s="33" t="str">
        <f t="shared" si="6"/>
        <v>mqtt</v>
      </c>
      <c r="G8" t="s">
        <v>327</v>
      </c>
      <c r="H8" s="33" t="str">
        <f t="shared" si="5"/>
        <v>machine/controller</v>
      </c>
      <c r="I8" t="s">
        <v>328</v>
      </c>
      <c r="J8" s="33" t="str">
        <f t="shared" si="3"/>
        <v>order</v>
      </c>
      <c r="K8" s="33" t="str">
        <f>Table4[[#This Row],[Intermediate Qualified System Name]]&amp;"--"&amp;Table4[[#This Row],[Collection Intermediate Qualified Name]]&amp;"--"&amp;Table4[[#This Row],[Dataset Intermediate Qualified Name]]</f>
        <v>mqtt--machine/controller--order</v>
      </c>
      <c r="L8" t="s">
        <v>181</v>
      </c>
      <c r="M8" s="33" t="str">
        <f t="shared" si="4"/>
        <v>topping</v>
      </c>
      <c r="N8" s="33" t="str">
        <f>Table4[[#This Row],[Intermediate Qualified System Name]]&amp;"--"&amp;Table4[[#This Row],[Collection Intermediate Qualified Name]]&amp;"--"&amp;Table4[[#This Row],[Dataset Intermediate Qualified Name]]&amp;"--"&amp;Table4[[#This Row],[Field Intermediate Qualified Name]]</f>
        <v>mqtt--machine/controller--order--topping</v>
      </c>
      <c r="O8"/>
      <c r="P8" t="s">
        <v>174</v>
      </c>
      <c r="Q8"/>
    </row>
    <row r="9" spans="2:17" x14ac:dyDescent="0.3">
      <c r="B9">
        <v>8</v>
      </c>
      <c r="C9" s="31" t="s">
        <v>166</v>
      </c>
      <c r="D9" t="s">
        <v>325</v>
      </c>
      <c r="E9" t="s">
        <v>326</v>
      </c>
      <c r="F9" s="33" t="str">
        <f t="shared" si="6"/>
        <v>mqtt</v>
      </c>
      <c r="G9" t="s">
        <v>337</v>
      </c>
      <c r="H9" s="33" t="str">
        <f t="shared" si="5"/>
        <v>machine/controller/beverage/counters/total</v>
      </c>
      <c r="I9" t="s">
        <v>338</v>
      </c>
      <c r="J9" s="33" t="str">
        <f t="shared" si="3"/>
        <v>totalconsumptions</v>
      </c>
      <c r="K9" s="33" t="str">
        <f>Table4[[#This Row],[Intermediate Qualified System Name]]&amp;"--"&amp;Table4[[#This Row],[Collection Intermediate Qualified Name]]&amp;"--"&amp;Table4[[#This Row],[Dataset Intermediate Qualified Name]]</f>
        <v>mqtt--machine/controller/beverage/counters/total--totalconsumptions</v>
      </c>
      <c r="L9" t="s">
        <v>339</v>
      </c>
      <c r="M9" s="33" t="str">
        <f t="shared" si="4"/>
        <v>name</v>
      </c>
      <c r="N9" s="33" t="str">
        <f>Table4[[#This Row],[Intermediate Qualified System Name]]&amp;"--"&amp;Table4[[#This Row],[Collection Intermediate Qualified Name]]&amp;"--"&amp;Table4[[#This Row],[Dataset Intermediate Qualified Name]]&amp;"--"&amp;Table4[[#This Row],[Field Intermediate Qualified Name]]</f>
        <v>mqtt--machine/controller/beverage/counters/total--totalconsumptions--name</v>
      </c>
      <c r="O9"/>
      <c r="P9" t="s">
        <v>168</v>
      </c>
      <c r="Q9"/>
    </row>
    <row r="10" spans="2:17" x14ac:dyDescent="0.3">
      <c r="B10">
        <v>9</v>
      </c>
      <c r="C10" s="31" t="s">
        <v>184</v>
      </c>
      <c r="D10" t="s">
        <v>340</v>
      </c>
      <c r="E10" t="s">
        <v>326</v>
      </c>
      <c r="F10" s="33" t="str">
        <f t="shared" si="6"/>
        <v>mqtt</v>
      </c>
      <c r="G10" t="s">
        <v>337</v>
      </c>
      <c r="H10" s="33" t="str">
        <f t="shared" si="5"/>
        <v>machine/controller/beverage/counters/total</v>
      </c>
      <c r="I10" t="s">
        <v>338</v>
      </c>
      <c r="J10" s="33" t="str">
        <f t="shared" si="3"/>
        <v>totalconsumptions</v>
      </c>
      <c r="K10" s="33" t="str">
        <f>Table4[[#This Row],[Intermediate Qualified System Name]]&amp;"--"&amp;Table4[[#This Row],[Collection Intermediate Qualified Name]]&amp;"--"&amp;Table4[[#This Row],[Dataset Intermediate Qualified Name]]</f>
        <v>mqtt--machine/controller/beverage/counters/total--totalconsumptions</v>
      </c>
      <c r="L10" t="s">
        <v>184</v>
      </c>
      <c r="M10" s="33" t="str">
        <f t="shared" si="4"/>
        <v>small</v>
      </c>
      <c r="N10" s="33" t="str">
        <f>Table4[[#This Row],[Intermediate Qualified System Name]]&amp;"--"&amp;Table4[[#This Row],[Collection Intermediate Qualified Name]]&amp;"--"&amp;Table4[[#This Row],[Dataset Intermediate Qualified Name]]&amp;"--"&amp;Table4[[#This Row],[Field Intermediate Qualified Name]]</f>
        <v>mqtt--machine/controller/beverage/counters/total--totalconsumptions--small</v>
      </c>
      <c r="O10"/>
      <c r="P10" t="s">
        <v>174</v>
      </c>
      <c r="Q10"/>
    </row>
    <row r="11" spans="2:17" x14ac:dyDescent="0.3">
      <c r="B11">
        <v>10</v>
      </c>
      <c r="C11" s="31" t="s">
        <v>186</v>
      </c>
      <c r="D11" t="s">
        <v>341</v>
      </c>
      <c r="E11" t="s">
        <v>326</v>
      </c>
      <c r="F11" s="33" t="str">
        <f t="shared" si="6"/>
        <v>mqtt</v>
      </c>
      <c r="G11" t="s">
        <v>337</v>
      </c>
      <c r="H11" s="33" t="str">
        <f t="shared" si="5"/>
        <v>machine/controller/beverage/counters/total</v>
      </c>
      <c r="I11" t="s">
        <v>338</v>
      </c>
      <c r="J11" s="33" t="str">
        <f t="shared" si="3"/>
        <v>totalconsumptions</v>
      </c>
      <c r="K11" s="33" t="str">
        <f>Table4[[#This Row],[Intermediate Qualified System Name]]&amp;"--"&amp;Table4[[#This Row],[Collection Intermediate Qualified Name]]&amp;"--"&amp;Table4[[#This Row],[Dataset Intermediate Qualified Name]]</f>
        <v>mqtt--machine/controller/beverage/counters/total--totalconsumptions</v>
      </c>
      <c r="L11" t="s">
        <v>186</v>
      </c>
      <c r="M11" s="33" t="str">
        <f t="shared" si="4"/>
        <v>medium</v>
      </c>
      <c r="N11" s="33" t="str">
        <f>Table4[[#This Row],[Intermediate Qualified System Name]]&amp;"--"&amp;Table4[[#This Row],[Collection Intermediate Qualified Name]]&amp;"--"&amp;Table4[[#This Row],[Dataset Intermediate Qualified Name]]&amp;"--"&amp;Table4[[#This Row],[Field Intermediate Qualified Name]]</f>
        <v>mqtt--machine/controller/beverage/counters/total--totalconsumptions--medium</v>
      </c>
      <c r="O11"/>
      <c r="P11" t="s">
        <v>174</v>
      </c>
      <c r="Q11"/>
    </row>
    <row r="12" spans="2:17" x14ac:dyDescent="0.3">
      <c r="B12">
        <v>11</v>
      </c>
      <c r="C12" s="31" t="s">
        <v>188</v>
      </c>
      <c r="D12" t="s">
        <v>342</v>
      </c>
      <c r="E12" t="s">
        <v>326</v>
      </c>
      <c r="F12" s="33" t="str">
        <f t="shared" si="6"/>
        <v>mqtt</v>
      </c>
      <c r="G12" t="s">
        <v>337</v>
      </c>
      <c r="H12" s="33" t="str">
        <f t="shared" si="5"/>
        <v>machine/controller/beverage/counters/total</v>
      </c>
      <c r="I12" t="s">
        <v>338</v>
      </c>
      <c r="J12" s="33" t="str">
        <f t="shared" si="3"/>
        <v>totalconsumptions</v>
      </c>
      <c r="K12" s="33" t="str">
        <f>Table4[[#This Row],[Intermediate Qualified System Name]]&amp;"--"&amp;Table4[[#This Row],[Collection Intermediate Qualified Name]]&amp;"--"&amp;Table4[[#This Row],[Dataset Intermediate Qualified Name]]</f>
        <v>mqtt--machine/controller/beverage/counters/total--totalconsumptions</v>
      </c>
      <c r="L12" t="s">
        <v>343</v>
      </c>
      <c r="M12" s="33" t="str">
        <f t="shared" si="4"/>
        <v>large</v>
      </c>
      <c r="N12" s="33" t="str">
        <f>Table4[[#This Row],[Intermediate Qualified System Name]]&amp;"--"&amp;Table4[[#This Row],[Collection Intermediate Qualified Name]]&amp;"--"&amp;Table4[[#This Row],[Dataset Intermediate Qualified Name]]&amp;"--"&amp;Table4[[#This Row],[Field Intermediate Qualified Name]]</f>
        <v>mqtt--machine/controller/beverage/counters/total--totalconsumptions--large</v>
      </c>
      <c r="O12"/>
      <c r="P12" t="s">
        <v>174</v>
      </c>
      <c r="Q12"/>
    </row>
    <row r="13" spans="2:17" x14ac:dyDescent="0.3">
      <c r="B13">
        <v>12</v>
      </c>
      <c r="C13" s="31" t="s">
        <v>190</v>
      </c>
      <c r="D13" t="s">
        <v>344</v>
      </c>
      <c r="E13" t="s">
        <v>326</v>
      </c>
      <c r="F13" s="33" t="str">
        <f t="shared" si="6"/>
        <v>mqtt</v>
      </c>
      <c r="G13" t="s">
        <v>337</v>
      </c>
      <c r="H13" s="33" t="str">
        <f t="shared" si="5"/>
        <v>machine/controller/beverage/counters/total</v>
      </c>
      <c r="I13" t="s">
        <v>338</v>
      </c>
      <c r="J13" s="33" t="str">
        <f t="shared" si="3"/>
        <v>totalconsumptions</v>
      </c>
      <c r="K13" s="33" t="str">
        <f>Table4[[#This Row],[Intermediate Qualified System Name]]&amp;"--"&amp;Table4[[#This Row],[Collection Intermediate Qualified Name]]&amp;"--"&amp;Table4[[#This Row],[Dataset Intermediate Qualified Name]]</f>
        <v>mqtt--machine/controller/beverage/counters/total--totalconsumptions</v>
      </c>
      <c r="L13" t="s">
        <v>345</v>
      </c>
      <c r="M13" s="33" t="str">
        <f t="shared" si="4"/>
        <v>total</v>
      </c>
      <c r="N13" s="33" t="str">
        <f>Table4[[#This Row],[Intermediate Qualified System Name]]&amp;"--"&amp;Table4[[#This Row],[Collection Intermediate Qualified Name]]&amp;"--"&amp;Table4[[#This Row],[Dataset Intermediate Qualified Name]]&amp;"--"&amp;Table4[[#This Row],[Field Intermediate Qualified Name]]</f>
        <v>mqtt--machine/controller/beverage/counters/total--totalconsumptions--total</v>
      </c>
      <c r="O13"/>
      <c r="P13" t="s">
        <v>174</v>
      </c>
      <c r="Q13"/>
    </row>
    <row r="14" spans="2:17" x14ac:dyDescent="0.3">
      <c r="B14">
        <v>13</v>
      </c>
      <c r="C14" s="31" t="s">
        <v>193</v>
      </c>
      <c r="D14" t="s">
        <v>346</v>
      </c>
      <c r="E14" t="s">
        <v>326</v>
      </c>
      <c r="F14" s="33" t="str">
        <f t="shared" si="6"/>
        <v>mqtt</v>
      </c>
      <c r="G14" t="s">
        <v>347</v>
      </c>
      <c r="H14" s="33" t="str">
        <f t="shared" si="5"/>
        <v>machine/controller/notify</v>
      </c>
      <c r="I14" t="s">
        <v>348</v>
      </c>
      <c r="J14" s="33" t="str">
        <f t="shared" ref="J14:J20" si="7">SUBSTITUTE(SUBSTITUTE(SUBSTITUTE(SUBSTITUTE(LOWER(I14),"&amp;",""),"-",""),"  ","-")," ","-")</f>
        <v>messages</v>
      </c>
      <c r="K14" s="33" t="str">
        <f>Table4[[#This Row],[Intermediate Qualified System Name]]&amp;"--"&amp;Table4[[#This Row],[Collection Intermediate Qualified Name]]&amp;"--"&amp;Table4[[#This Row],[Dataset Intermediate Qualified Name]]</f>
        <v>mqtt--machine/controller/notify--messages</v>
      </c>
      <c r="L14" t="s">
        <v>349</v>
      </c>
      <c r="M14" s="33" t="str">
        <f t="shared" si="4"/>
        <v>active</v>
      </c>
      <c r="N14" s="33" t="str">
        <f>Table4[[#This Row],[Intermediate Qualified System Name]]&amp;"--"&amp;Table4[[#This Row],[Collection Intermediate Qualified Name]]&amp;"--"&amp;Table4[[#This Row],[Dataset Intermediate Qualified Name]]&amp;"--"&amp;Table4[[#This Row],[Field Intermediate Qualified Name]]</f>
        <v>mqtt--machine/controller/notify--messages--active</v>
      </c>
      <c r="O14"/>
      <c r="P14" t="s">
        <v>195</v>
      </c>
      <c r="Q14"/>
    </row>
    <row r="15" spans="2:17" x14ac:dyDescent="0.3">
      <c r="B15">
        <v>14</v>
      </c>
      <c r="C15" s="31" t="s">
        <v>197</v>
      </c>
      <c r="D15" t="s">
        <v>350</v>
      </c>
      <c r="E15" t="s">
        <v>326</v>
      </c>
      <c r="F15" s="33" t="str">
        <f t="shared" si="6"/>
        <v>mqtt</v>
      </c>
      <c r="G15" t="s">
        <v>347</v>
      </c>
      <c r="H15" s="33" t="str">
        <f t="shared" si="5"/>
        <v>machine/controller/notify</v>
      </c>
      <c r="I15" t="s">
        <v>348</v>
      </c>
      <c r="J15" s="33" t="str">
        <f t="shared" si="7"/>
        <v>messages</v>
      </c>
      <c r="K15" s="33" t="str">
        <f>Table4[[#This Row],[Intermediate Qualified System Name]]&amp;"--"&amp;Table4[[#This Row],[Collection Intermediate Qualified Name]]&amp;"--"&amp;Table4[[#This Row],[Dataset Intermediate Qualified Name]]</f>
        <v>mqtt--machine/controller/notify--messages</v>
      </c>
      <c r="L15" t="s">
        <v>351</v>
      </c>
      <c r="M15" s="33" t="str">
        <f t="shared" si="4"/>
        <v>latched</v>
      </c>
      <c r="N15" s="33" t="str">
        <f>Table4[[#This Row],[Intermediate Qualified System Name]]&amp;"--"&amp;Table4[[#This Row],[Collection Intermediate Qualified Name]]&amp;"--"&amp;Table4[[#This Row],[Dataset Intermediate Qualified Name]]&amp;"--"&amp;Table4[[#This Row],[Field Intermediate Qualified Name]]</f>
        <v>mqtt--machine/controller/notify--messages--latched</v>
      </c>
      <c r="O15"/>
      <c r="P15" t="s">
        <v>195</v>
      </c>
      <c r="Q15"/>
    </row>
    <row r="16" spans="2:17" x14ac:dyDescent="0.3">
      <c r="B16">
        <v>15</v>
      </c>
      <c r="C16" s="31" t="s">
        <v>199</v>
      </c>
      <c r="D16" t="s">
        <v>352</v>
      </c>
      <c r="E16" t="s">
        <v>326</v>
      </c>
      <c r="F16" s="33" t="str">
        <f t="shared" si="6"/>
        <v>mqtt</v>
      </c>
      <c r="G16" t="s">
        <v>347</v>
      </c>
      <c r="H16" s="33" t="str">
        <f t="shared" si="5"/>
        <v>machine/controller/notify</v>
      </c>
      <c r="I16" t="s">
        <v>348</v>
      </c>
      <c r="J16" s="33" t="str">
        <f t="shared" si="7"/>
        <v>messages</v>
      </c>
      <c r="K16" s="33" t="str">
        <f>Table4[[#This Row],[Intermediate Qualified System Name]]&amp;"--"&amp;Table4[[#This Row],[Collection Intermediate Qualified Name]]&amp;"--"&amp;Table4[[#This Row],[Dataset Intermediate Qualified Name]]</f>
        <v>mqtt--machine/controller/notify--messages</v>
      </c>
      <c r="L16" t="s">
        <v>353</v>
      </c>
      <c r="M16" s="33" t="str">
        <f t="shared" si="4"/>
        <v>id</v>
      </c>
      <c r="N16" s="33" t="str">
        <f>Table4[[#This Row],[Intermediate Qualified System Name]]&amp;"--"&amp;Table4[[#This Row],[Collection Intermediate Qualified Name]]&amp;"--"&amp;Table4[[#This Row],[Dataset Intermediate Qualified Name]]&amp;"--"&amp;Table4[[#This Row],[Field Intermediate Qualified Name]]</f>
        <v>mqtt--machine/controller/notify--messages--id</v>
      </c>
      <c r="O16"/>
      <c r="P16" t="s">
        <v>195</v>
      </c>
      <c r="Q16"/>
    </row>
    <row r="17" spans="2:16" customFormat="1" x14ac:dyDescent="0.3">
      <c r="B17">
        <v>16</v>
      </c>
      <c r="C17" s="31" t="s">
        <v>201</v>
      </c>
      <c r="D17" t="s">
        <v>354</v>
      </c>
      <c r="E17" t="s">
        <v>326</v>
      </c>
      <c r="F17" s="33" t="str">
        <f t="shared" si="6"/>
        <v>mqtt</v>
      </c>
      <c r="G17" t="s">
        <v>347</v>
      </c>
      <c r="H17" s="33" t="str">
        <f t="shared" si="5"/>
        <v>machine/controller/notify</v>
      </c>
      <c r="I17" t="s">
        <v>348</v>
      </c>
      <c r="J17" s="33" t="str">
        <f t="shared" si="7"/>
        <v>messages</v>
      </c>
      <c r="K17" s="33" t="str">
        <f>Table4[[#This Row],[Intermediate Qualified System Name]]&amp;"--"&amp;Table4[[#This Row],[Collection Intermediate Qualified Name]]&amp;"--"&amp;Table4[[#This Row],[Dataset Intermediate Qualified Name]]</f>
        <v>mqtt--machine/controller/notify--messages</v>
      </c>
      <c r="L17" t="s">
        <v>201</v>
      </c>
      <c r="M17" s="33" t="str">
        <f t="shared" si="4"/>
        <v>action</v>
      </c>
      <c r="N17" s="33" t="str">
        <f>Table4[[#This Row],[Intermediate Qualified System Name]]&amp;"--"&amp;Table4[[#This Row],[Collection Intermediate Qualified Name]]&amp;"--"&amp;Table4[[#This Row],[Dataset Intermediate Qualified Name]]&amp;"--"&amp;Table4[[#This Row],[Field Intermediate Qualified Name]]</f>
        <v>mqtt--machine/controller/notify--messages--action</v>
      </c>
      <c r="P17" t="s">
        <v>168</v>
      </c>
    </row>
    <row r="18" spans="2:16" customFormat="1" x14ac:dyDescent="0.3">
      <c r="B18">
        <v>17</v>
      </c>
      <c r="C18" s="31" t="s">
        <v>203</v>
      </c>
      <c r="D18" t="s">
        <v>355</v>
      </c>
      <c r="E18" t="s">
        <v>326</v>
      </c>
      <c r="F18" s="33" t="str">
        <f t="shared" si="6"/>
        <v>mqtt</v>
      </c>
      <c r="G18" t="s">
        <v>347</v>
      </c>
      <c r="H18" s="33" t="str">
        <f t="shared" si="5"/>
        <v>machine/controller/notify</v>
      </c>
      <c r="I18" t="s">
        <v>348</v>
      </c>
      <c r="J18" s="33" t="str">
        <f t="shared" si="7"/>
        <v>messages</v>
      </c>
      <c r="K18" s="33" t="str">
        <f>Table4[[#This Row],[Intermediate Qualified System Name]]&amp;"--"&amp;Table4[[#This Row],[Collection Intermediate Qualified Name]]&amp;"--"&amp;Table4[[#This Row],[Dataset Intermediate Qualified Name]]</f>
        <v>mqtt--machine/controller/notify--messages</v>
      </c>
      <c r="L18" t="s">
        <v>356</v>
      </c>
      <c r="M18" s="33" t="str">
        <f t="shared" ref="M18:M19" si="8">SUBSTITUTE(SUBSTITUTE(SUBSTITUTE(LOWER(L18),"&amp;",""),"  ","-")," ","-")</f>
        <v>metadata</v>
      </c>
      <c r="N18" s="33" t="str">
        <f>Table4[[#This Row],[Intermediate Qualified System Name]]&amp;"--"&amp;Table4[[#This Row],[Collection Intermediate Qualified Name]]&amp;"--"&amp;Table4[[#This Row],[Dataset Intermediate Qualified Name]]&amp;"--"&amp;Table4[[#This Row],[Field Intermediate Qualified Name]]</f>
        <v>mqtt--machine/controller/notify--messages--metadata</v>
      </c>
      <c r="P18" t="s">
        <v>168</v>
      </c>
    </row>
    <row r="19" spans="2:16" customFormat="1" x14ac:dyDescent="0.3">
      <c r="B19">
        <v>18</v>
      </c>
      <c r="C19" s="31" t="s">
        <v>205</v>
      </c>
      <c r="D19" t="s">
        <v>357</v>
      </c>
      <c r="E19" t="s">
        <v>326</v>
      </c>
      <c r="F19" s="33" t="str">
        <f t="shared" si="6"/>
        <v>mqtt</v>
      </c>
      <c r="G19" t="s">
        <v>358</v>
      </c>
      <c r="H19" s="33" t="str">
        <f t="shared" si="5"/>
        <v>machine/controller/procedure</v>
      </c>
      <c r="I19" t="s">
        <v>359</v>
      </c>
      <c r="J19" s="33" t="str">
        <f t="shared" si="7"/>
        <v>procedure</v>
      </c>
      <c r="K19" s="33" t="str">
        <f>Table4[[#This Row],[Intermediate Qualified System Name]]&amp;"--"&amp;Table4[[#This Row],[Collection Intermediate Qualified Name]]&amp;"--"&amp;Table4[[#This Row],[Dataset Intermediate Qualified Name]]</f>
        <v>mqtt--machine/controller/procedure--procedure</v>
      </c>
      <c r="L19" t="s">
        <v>339</v>
      </c>
      <c r="M19" s="33" t="str">
        <f t="shared" si="8"/>
        <v>name</v>
      </c>
      <c r="N19" s="33" t="str">
        <f>Table4[[#This Row],[Intermediate Qualified System Name]]&amp;"--"&amp;Table4[[#This Row],[Collection Intermediate Qualified Name]]&amp;"--"&amp;Table4[[#This Row],[Dataset Intermediate Qualified Name]]&amp;"--"&amp;Table4[[#This Row],[Field Intermediate Qualified Name]]</f>
        <v>mqtt--machine/controller/procedure--procedure--name</v>
      </c>
      <c r="P19" s="31" t="s">
        <v>168</v>
      </c>
    </row>
    <row r="20" spans="2:16" customFormat="1" x14ac:dyDescent="0.3">
      <c r="B20">
        <v>19</v>
      </c>
      <c r="C20" s="31" t="s">
        <v>207</v>
      </c>
      <c r="D20" t="s">
        <v>360</v>
      </c>
      <c r="E20" t="s">
        <v>326</v>
      </c>
      <c r="F20" s="33" t="str">
        <f t="shared" si="6"/>
        <v>mqtt</v>
      </c>
      <c r="G20" t="s">
        <v>358</v>
      </c>
      <c r="H20" s="33" t="str">
        <f t="shared" si="5"/>
        <v>machine/controller/procedure</v>
      </c>
      <c r="I20" t="s">
        <v>359</v>
      </c>
      <c r="J20" s="33" t="str">
        <f t="shared" si="7"/>
        <v>procedure</v>
      </c>
      <c r="K20" s="33" t="str">
        <f>Table4[[#This Row],[Intermediate Qualified System Name]]&amp;"--"&amp;Table4[[#This Row],[Collection Intermediate Qualified Name]]&amp;"--"&amp;Table4[[#This Row],[Dataset Intermediate Qualified Name]]</f>
        <v>mqtt--machine/controller/procedure--procedure</v>
      </c>
      <c r="L20" t="s">
        <v>334</v>
      </c>
      <c r="M20" s="33" t="str">
        <f t="shared" si="4"/>
        <v>etc</v>
      </c>
      <c r="N20" s="33" t="str">
        <f>Table4[[#This Row],[Intermediate Qualified System Name]]&amp;"--"&amp;Table4[[#This Row],[Collection Intermediate Qualified Name]]&amp;"--"&amp;Table4[[#This Row],[Dataset Intermediate Qualified Name]]&amp;"--"&amp;Table4[[#This Row],[Field Intermediate Qualified Name]]</f>
        <v>mqtt--machine/controller/procedure--procedure--etc</v>
      </c>
      <c r="P20" t="s">
        <v>174</v>
      </c>
    </row>
    <row r="21" spans="2:16" customFormat="1" x14ac:dyDescent="0.3">
      <c r="B21">
        <v>20</v>
      </c>
      <c r="C21" s="31" t="s">
        <v>209</v>
      </c>
      <c r="D21" t="s">
        <v>361</v>
      </c>
      <c r="E21" t="s">
        <v>326</v>
      </c>
      <c r="F21" s="33" t="str">
        <f t="shared" si="6"/>
        <v>mqtt</v>
      </c>
      <c r="G21" t="s">
        <v>358</v>
      </c>
      <c r="H21" s="33" t="str">
        <f t="shared" si="5"/>
        <v>machine/controller/procedure</v>
      </c>
      <c r="I21" t="s">
        <v>359</v>
      </c>
      <c r="J21" s="33" t="str">
        <f t="shared" si="3"/>
        <v>procedure</v>
      </c>
      <c r="K21" s="33" t="str">
        <f>Table4[[#This Row],[Intermediate Qualified System Name]]&amp;"--"&amp;Table4[[#This Row],[Collection Intermediate Qualified Name]]&amp;"--"&amp;Table4[[#This Row],[Dataset Intermediate Qualified Name]]</f>
        <v>mqtt--machine/controller/procedure--procedure</v>
      </c>
      <c r="L21" t="s">
        <v>209</v>
      </c>
      <c r="M21" s="33" t="str">
        <f t="shared" si="4"/>
        <v>wait</v>
      </c>
      <c r="N21" s="33" t="str">
        <f>Table4[[#This Row],[Intermediate Qualified System Name]]&amp;"--"&amp;Table4[[#This Row],[Collection Intermediate Qualified Name]]&amp;"--"&amp;Table4[[#This Row],[Dataset Intermediate Qualified Name]]&amp;"--"&amp;Table4[[#This Row],[Field Intermediate Qualified Name]]</f>
        <v>mqtt--machine/controller/procedure--procedure--wait</v>
      </c>
      <c r="P21" t="s">
        <v>174</v>
      </c>
    </row>
    <row r="22" spans="2:16" customFormat="1" x14ac:dyDescent="0.3">
      <c r="B22">
        <v>21</v>
      </c>
      <c r="C22" s="31" t="s">
        <v>212</v>
      </c>
      <c r="D22" t="s">
        <v>362</v>
      </c>
      <c r="E22" t="s">
        <v>326</v>
      </c>
      <c r="F22" s="33" t="str">
        <f t="shared" si="6"/>
        <v>mqtt</v>
      </c>
      <c r="G22" t="s">
        <v>363</v>
      </c>
      <c r="H22" s="33" t="str">
        <f t="shared" si="5"/>
        <v>machine/controller/grinder</v>
      </c>
      <c r="I22" t="s">
        <v>364</v>
      </c>
      <c r="J22" s="33" t="str">
        <f t="shared" si="3"/>
        <v>machinegrinder</v>
      </c>
      <c r="K22" s="33" t="s">
        <v>365</v>
      </c>
      <c r="L22" t="s">
        <v>366</v>
      </c>
      <c r="M22" s="33" t="str">
        <f t="shared" si="4"/>
        <v>channel</v>
      </c>
      <c r="N22" s="33" t="str">
        <f>Table4[[#This Row],[Intermediate Qualified System Name]]&amp;"--"&amp;Table4[[#This Row],[Collection Intermediate Qualified Name]]&amp;"--"&amp;Table4[[#This Row],[Dataset Intermediate Qualified Name]]&amp;"--"&amp;Table4[[#This Row],[Field Intermediate Qualified Name]]</f>
        <v>mqtt--machine/controller/grinder--machinegrinder--channel</v>
      </c>
      <c r="P22" t="s">
        <v>174</v>
      </c>
    </row>
    <row r="23" spans="2:16" customFormat="1" x14ac:dyDescent="0.3">
      <c r="B23">
        <v>22</v>
      </c>
      <c r="C23" s="31" t="s">
        <v>214</v>
      </c>
      <c r="D23" t="s">
        <v>367</v>
      </c>
      <c r="E23" t="s">
        <v>326</v>
      </c>
      <c r="F23" s="33" t="str">
        <f t="shared" si="6"/>
        <v>mqtt</v>
      </c>
      <c r="G23" t="s">
        <v>363</v>
      </c>
      <c r="H23" s="33" t="str">
        <f t="shared" si="5"/>
        <v>machine/controller/grinder</v>
      </c>
      <c r="I23" t="s">
        <v>364</v>
      </c>
      <c r="J23" s="33" t="str">
        <f t="shared" si="3"/>
        <v>machinegrinder</v>
      </c>
      <c r="K23" s="33" t="str">
        <f>Table4[[#This Row],[Intermediate Qualified System Name]]&amp;"--"&amp;Table4[[#This Row],[Collection Intermediate Qualified Name]]&amp;"--"&amp;Table4[[#This Row],[Dataset Intermediate Qualified Name]]</f>
        <v>mqtt--machine/controller/grinder--machinegrinder</v>
      </c>
      <c r="L23" t="s">
        <v>368</v>
      </c>
      <c r="M23" s="33" t="str">
        <f t="shared" si="4"/>
        <v>date</v>
      </c>
      <c r="N23" s="33" t="str">
        <f>Table4[[#This Row],[Intermediate Qualified System Name]]&amp;"--"&amp;Table4[[#This Row],[Collection Intermediate Qualified Name]]&amp;"--"&amp;Table4[[#This Row],[Dataset Intermediate Qualified Name]]&amp;"--"&amp;Table4[[#This Row],[Field Intermediate Qualified Name]]</f>
        <v>mqtt--machine/controller/grinder--machinegrinder--date</v>
      </c>
      <c r="P23" t="s">
        <v>4</v>
      </c>
    </row>
    <row r="24" spans="2:16" customFormat="1" x14ac:dyDescent="0.3">
      <c r="B24">
        <v>23</v>
      </c>
      <c r="C24" s="31" t="s">
        <v>216</v>
      </c>
      <c r="D24" t="s">
        <v>369</v>
      </c>
      <c r="E24" t="s">
        <v>326</v>
      </c>
      <c r="F24" s="33" t="str">
        <f t="shared" si="6"/>
        <v>mqtt</v>
      </c>
      <c r="G24" t="s">
        <v>363</v>
      </c>
      <c r="H24" s="33" t="str">
        <f t="shared" si="5"/>
        <v>machine/controller/grinder</v>
      </c>
      <c r="I24" t="s">
        <v>364</v>
      </c>
      <c r="J24" s="33" t="str">
        <f t="shared" ref="J24:J35" si="9">SUBSTITUTE(SUBSTITUTE(SUBSTITUTE(SUBSTITUTE(LOWER(I24),"&amp;",""),"-",""),"  ","-")," ","-")</f>
        <v>machinegrinder</v>
      </c>
      <c r="K24" s="33" t="str">
        <f>Table4[[#This Row],[Intermediate Qualified System Name]]&amp;"--"&amp;Table4[[#This Row],[Collection Intermediate Qualified Name]]&amp;"--"&amp;Table4[[#This Row],[Dataset Intermediate Qualified Name]]</f>
        <v>mqtt--machine/controller/grinder--machinegrinder</v>
      </c>
      <c r="L24" t="s">
        <v>370</v>
      </c>
      <c r="M24" s="33" t="str">
        <f t="shared" ref="M24:M35" si="10">SUBSTITUTE(SUBSTITUTE(SUBSTITUTE(LOWER(L24),"&amp;",""),"  ","-")," ","-")</f>
        <v>ingredient</v>
      </c>
      <c r="N24" s="33" t="str">
        <f>Table4[[#This Row],[Intermediate Qualified System Name]]&amp;"--"&amp;Table4[[#This Row],[Collection Intermediate Qualified Name]]&amp;"--"&amp;Table4[[#This Row],[Dataset Intermediate Qualified Name]]&amp;"--"&amp;Table4[[#This Row],[Field Intermediate Qualified Name]]</f>
        <v>mqtt--machine/controller/grinder--machinegrinder--ingredient</v>
      </c>
      <c r="P24" t="s">
        <v>168</v>
      </c>
    </row>
    <row r="25" spans="2:16" customFormat="1" x14ac:dyDescent="0.3">
      <c r="B25">
        <v>24</v>
      </c>
      <c r="C25" s="31" t="s">
        <v>218</v>
      </c>
      <c r="D25" t="s">
        <v>371</v>
      </c>
      <c r="E25" t="s">
        <v>326</v>
      </c>
      <c r="F25" s="33" t="str">
        <f t="shared" si="6"/>
        <v>mqtt</v>
      </c>
      <c r="G25" t="s">
        <v>363</v>
      </c>
      <c r="H25" s="33" t="str">
        <f t="shared" si="5"/>
        <v>machine/controller/grinder</v>
      </c>
      <c r="I25" t="s">
        <v>364</v>
      </c>
      <c r="J25" s="33" t="str">
        <f t="shared" si="9"/>
        <v>machinegrinder</v>
      </c>
      <c r="K25" s="33" t="str">
        <f>Table4[[#This Row],[Intermediate Qualified System Name]]&amp;"--"&amp;Table4[[#This Row],[Collection Intermediate Qualified Name]]&amp;"--"&amp;Table4[[#This Row],[Dataset Intermediate Qualified Name]]</f>
        <v>mqtt--machine/controller/grinder--machinegrinder</v>
      </c>
      <c r="L25" t="s">
        <v>372</v>
      </c>
      <c r="M25" s="33" t="str">
        <f t="shared" si="10"/>
        <v>mapping</v>
      </c>
      <c r="N25" s="33" t="str">
        <f>Table4[[#This Row],[Intermediate Qualified System Name]]&amp;"--"&amp;Table4[[#This Row],[Collection Intermediate Qualified Name]]&amp;"--"&amp;Table4[[#This Row],[Dataset Intermediate Qualified Name]]&amp;"--"&amp;Table4[[#This Row],[Field Intermediate Qualified Name]]</f>
        <v>mqtt--machine/controller/grinder--machinegrinder--mapping</v>
      </c>
      <c r="P25" t="s">
        <v>168</v>
      </c>
    </row>
    <row r="26" spans="2:16" customFormat="1" x14ac:dyDescent="0.3">
      <c r="B26">
        <v>25</v>
      </c>
      <c r="C26" s="31" t="s">
        <v>220</v>
      </c>
      <c r="D26" t="s">
        <v>373</v>
      </c>
      <c r="E26" t="s">
        <v>326</v>
      </c>
      <c r="F26" s="33" t="str">
        <f t="shared" si="6"/>
        <v>mqtt</v>
      </c>
      <c r="G26" t="s">
        <v>363</v>
      </c>
      <c r="H26" s="33" t="str">
        <f t="shared" si="5"/>
        <v>machine/controller/grinder</v>
      </c>
      <c r="I26" t="s">
        <v>364</v>
      </c>
      <c r="J26" s="33" t="str">
        <f t="shared" si="9"/>
        <v>machinegrinder</v>
      </c>
      <c r="K26" s="33" t="str">
        <f>Table4[[#This Row],[Intermediate Qualified System Name]]&amp;"--"&amp;Table4[[#This Row],[Collection Intermediate Qualified Name]]&amp;"--"&amp;Table4[[#This Row],[Dataset Intermediate Qualified Name]]</f>
        <v>mqtt--machine/controller/grinder--machinegrinder</v>
      </c>
      <c r="L26" t="s">
        <v>374</v>
      </c>
      <c r="M26" s="33" t="str">
        <f t="shared" si="10"/>
        <v>number</v>
      </c>
      <c r="N26" s="33" t="str">
        <f>Table4[[#This Row],[Intermediate Qualified System Name]]&amp;"--"&amp;Table4[[#This Row],[Collection Intermediate Qualified Name]]&amp;"--"&amp;Table4[[#This Row],[Dataset Intermediate Qualified Name]]&amp;"--"&amp;Table4[[#This Row],[Field Intermediate Qualified Name]]</f>
        <v>mqtt--machine/controller/grinder--machinegrinder--number</v>
      </c>
      <c r="P26" t="s">
        <v>174</v>
      </c>
    </row>
    <row r="27" spans="2:16" customFormat="1" x14ac:dyDescent="0.3">
      <c r="B27">
        <v>26</v>
      </c>
      <c r="C27" s="31" t="s">
        <v>222</v>
      </c>
      <c r="D27" t="s">
        <v>375</v>
      </c>
      <c r="E27" t="s">
        <v>326</v>
      </c>
      <c r="F27" s="33" t="str">
        <f t="shared" si="6"/>
        <v>mqtt</v>
      </c>
      <c r="G27" t="s">
        <v>363</v>
      </c>
      <c r="H27" s="33" t="str">
        <f t="shared" si="5"/>
        <v>machine/controller/grinder</v>
      </c>
      <c r="I27" t="s">
        <v>364</v>
      </c>
      <c r="J27" s="33" t="str">
        <f t="shared" si="9"/>
        <v>machinegrinder</v>
      </c>
      <c r="K27" s="33" t="str">
        <f>Table4[[#This Row],[Intermediate Qualified System Name]]&amp;"--"&amp;Table4[[#This Row],[Collection Intermediate Qualified Name]]&amp;"--"&amp;Table4[[#This Row],[Dataset Intermediate Qualified Name]]</f>
        <v>mqtt--machine/controller/grinder--machinegrinder</v>
      </c>
      <c r="L27" t="s">
        <v>376</v>
      </c>
      <c r="M27" s="33" t="str">
        <f t="shared" si="10"/>
        <v>label</v>
      </c>
      <c r="N27" s="33" t="str">
        <f>Table4[[#This Row],[Intermediate Qualified System Name]]&amp;"--"&amp;Table4[[#This Row],[Collection Intermediate Qualified Name]]&amp;"--"&amp;Table4[[#This Row],[Dataset Intermediate Qualified Name]]&amp;"--"&amp;Table4[[#This Row],[Field Intermediate Qualified Name]]</f>
        <v>mqtt--machine/controller/grinder--machinegrinder--label</v>
      </c>
      <c r="P27" s="31" t="s">
        <v>168</v>
      </c>
    </row>
    <row r="28" spans="2:16" customFormat="1" x14ac:dyDescent="0.3">
      <c r="B28">
        <v>27</v>
      </c>
      <c r="C28" s="31" t="s">
        <v>225</v>
      </c>
      <c r="D28" t="s">
        <v>377</v>
      </c>
      <c r="E28" t="s">
        <v>326</v>
      </c>
      <c r="F28" s="33" t="str">
        <f t="shared" si="6"/>
        <v>mqtt</v>
      </c>
      <c r="G28" t="s">
        <v>378</v>
      </c>
      <c r="H28" s="33" t="str">
        <f t="shared" si="5"/>
        <v>machine/controller/canister</v>
      </c>
      <c r="I28" t="s">
        <v>379</v>
      </c>
      <c r="J28" s="33" t="str">
        <f t="shared" si="9"/>
        <v>machinecanister</v>
      </c>
      <c r="K28" s="33" t="str">
        <f>Table4[[#This Row],[Intermediate Qualified System Name]]&amp;"--"&amp;Table4[[#This Row],[Collection Intermediate Qualified Name]]&amp;"--"&amp;Table4[[#This Row],[Dataset Intermediate Qualified Name]]</f>
        <v>mqtt--machine/controller/canister--machinecanister</v>
      </c>
      <c r="L28" t="s">
        <v>366</v>
      </c>
      <c r="M28" s="33" t="str">
        <f>SUBSTITUTE(SUBSTITUTE(SUBSTITUTE(LOWER(L28),"&amp;",""),"  ","-")," ","-")</f>
        <v>channel</v>
      </c>
      <c r="N28" s="33" t="str">
        <f>Table4[[#This Row],[Intermediate Qualified System Name]]&amp;"--"&amp;Table4[[#This Row],[Collection Intermediate Qualified Name]]&amp;"--"&amp;Table4[[#This Row],[Dataset Intermediate Qualified Name]]&amp;"--"&amp;Table4[[#This Row],[Field Intermediate Qualified Name]]</f>
        <v>mqtt--machine/controller/canister--machinecanister--channel</v>
      </c>
      <c r="P28" t="s">
        <v>174</v>
      </c>
    </row>
    <row r="29" spans="2:16" customFormat="1" x14ac:dyDescent="0.3">
      <c r="B29">
        <v>28</v>
      </c>
      <c r="C29" s="31" t="s">
        <v>227</v>
      </c>
      <c r="D29" t="s">
        <v>380</v>
      </c>
      <c r="E29" t="s">
        <v>326</v>
      </c>
      <c r="F29" s="33" t="str">
        <f t="shared" si="6"/>
        <v>mqtt</v>
      </c>
      <c r="G29" t="s">
        <v>378</v>
      </c>
      <c r="H29" s="33" t="str">
        <f t="shared" si="5"/>
        <v>machine/controller/canister</v>
      </c>
      <c r="I29" t="s">
        <v>379</v>
      </c>
      <c r="J29" s="33" t="str">
        <f t="shared" si="9"/>
        <v>machinecanister</v>
      </c>
      <c r="K29" s="33" t="str">
        <f>Table4[[#This Row],[Intermediate Qualified System Name]]&amp;"--"&amp;Table4[[#This Row],[Collection Intermediate Qualified Name]]&amp;"--"&amp;Table4[[#This Row],[Dataset Intermediate Qualified Name]]</f>
        <v>mqtt--machine/controller/canister--machinecanister</v>
      </c>
      <c r="L29" t="s">
        <v>368</v>
      </c>
      <c r="M29" s="33" t="str">
        <f>SUBSTITUTE(SUBSTITUTE(SUBSTITUTE(LOWER(L29),"&amp;",""),"  ","-")," ","-")</f>
        <v>date</v>
      </c>
      <c r="N29" s="33" t="str">
        <f>Table4[[#This Row],[Intermediate Qualified System Name]]&amp;"--"&amp;Table4[[#This Row],[Collection Intermediate Qualified Name]]&amp;"--"&amp;Table4[[#This Row],[Dataset Intermediate Qualified Name]]&amp;"--"&amp;Table4[[#This Row],[Field Intermediate Qualified Name]]</f>
        <v>mqtt--machine/controller/canister--machinecanister--date</v>
      </c>
      <c r="P29" t="s">
        <v>4</v>
      </c>
    </row>
    <row r="30" spans="2:16" customFormat="1" x14ac:dyDescent="0.3">
      <c r="B30">
        <v>29</v>
      </c>
      <c r="C30" s="31" t="s">
        <v>229</v>
      </c>
      <c r="D30" t="s">
        <v>381</v>
      </c>
      <c r="E30" t="s">
        <v>326</v>
      </c>
      <c r="F30" s="33" t="str">
        <f t="shared" si="6"/>
        <v>mqtt</v>
      </c>
      <c r="G30" t="s">
        <v>378</v>
      </c>
      <c r="H30" s="33" t="str">
        <f t="shared" si="5"/>
        <v>machine/controller/canister</v>
      </c>
      <c r="I30" t="s">
        <v>379</v>
      </c>
      <c r="J30" s="33" t="str">
        <f t="shared" si="9"/>
        <v>machinecanister</v>
      </c>
      <c r="K30" s="33" t="str">
        <f>Table4[[#This Row],[Intermediate Qualified System Name]]&amp;"--"&amp;Table4[[#This Row],[Collection Intermediate Qualified Name]]&amp;"--"&amp;Table4[[#This Row],[Dataset Intermediate Qualified Name]]</f>
        <v>mqtt--machine/controller/canister--machinecanister</v>
      </c>
      <c r="L30" t="s">
        <v>370</v>
      </c>
      <c r="M30" s="33" t="str">
        <f>SUBSTITUTE(SUBSTITUTE(SUBSTITUTE(LOWER(L30),"&amp;",""),"  ","-")," ","-")</f>
        <v>ingredient</v>
      </c>
      <c r="N30" s="33" t="str">
        <f>Table4[[#This Row],[Intermediate Qualified System Name]]&amp;"--"&amp;Table4[[#This Row],[Collection Intermediate Qualified Name]]&amp;"--"&amp;Table4[[#This Row],[Dataset Intermediate Qualified Name]]&amp;"--"&amp;Table4[[#This Row],[Field Intermediate Qualified Name]]</f>
        <v>mqtt--machine/controller/canister--machinecanister--ingredient</v>
      </c>
      <c r="P30" t="s">
        <v>168</v>
      </c>
    </row>
    <row r="31" spans="2:16" customFormat="1" x14ac:dyDescent="0.3">
      <c r="B31">
        <v>30</v>
      </c>
      <c r="C31" s="31" t="s">
        <v>231</v>
      </c>
      <c r="D31" t="s">
        <v>382</v>
      </c>
      <c r="E31" t="s">
        <v>326</v>
      </c>
      <c r="F31" s="33" t="str">
        <f t="shared" si="6"/>
        <v>mqtt</v>
      </c>
      <c r="G31" t="s">
        <v>378</v>
      </c>
      <c r="H31" s="33" t="str">
        <f t="shared" si="5"/>
        <v>machine/controller/canister</v>
      </c>
      <c r="I31" t="s">
        <v>379</v>
      </c>
      <c r="J31" s="33" t="str">
        <f t="shared" si="9"/>
        <v>machinecanister</v>
      </c>
      <c r="K31" s="33" t="str">
        <f>Table4[[#This Row],[Intermediate Qualified System Name]]&amp;"--"&amp;Table4[[#This Row],[Collection Intermediate Qualified Name]]&amp;"--"&amp;Table4[[#This Row],[Dataset Intermediate Qualified Name]]</f>
        <v>mqtt--machine/controller/canister--machinecanister</v>
      </c>
      <c r="L31" t="s">
        <v>372</v>
      </c>
      <c r="M31" s="33" t="str">
        <f>SUBSTITUTE(SUBSTITUTE(SUBSTITUTE(LOWER(L31),"&amp;",""),"  ","-")," ","-")</f>
        <v>mapping</v>
      </c>
      <c r="N31" s="33" t="str">
        <f>Table4[[#This Row],[Intermediate Qualified System Name]]&amp;"--"&amp;Table4[[#This Row],[Collection Intermediate Qualified Name]]&amp;"--"&amp;Table4[[#This Row],[Dataset Intermediate Qualified Name]]&amp;"--"&amp;Table4[[#This Row],[Field Intermediate Qualified Name]]</f>
        <v>mqtt--machine/controller/canister--machinecanister--mapping</v>
      </c>
      <c r="P31" t="s">
        <v>168</v>
      </c>
    </row>
    <row r="32" spans="2:16" customFormat="1" x14ac:dyDescent="0.3">
      <c r="B32">
        <v>31</v>
      </c>
      <c r="C32" s="31" t="s">
        <v>233</v>
      </c>
      <c r="D32" t="s">
        <v>383</v>
      </c>
      <c r="E32" t="s">
        <v>326</v>
      </c>
      <c r="F32" s="33" t="str">
        <f t="shared" si="6"/>
        <v>mqtt</v>
      </c>
      <c r="G32" t="s">
        <v>378</v>
      </c>
      <c r="H32" s="33" t="str">
        <f t="shared" si="5"/>
        <v>machine/controller/canister</v>
      </c>
      <c r="I32" t="s">
        <v>379</v>
      </c>
      <c r="J32" s="33" t="str">
        <f t="shared" si="9"/>
        <v>machinecanister</v>
      </c>
      <c r="K32" s="33" t="str">
        <f>Table4[[#This Row],[Intermediate Qualified System Name]]&amp;"--"&amp;Table4[[#This Row],[Collection Intermediate Qualified Name]]&amp;"--"&amp;Table4[[#This Row],[Dataset Intermediate Qualified Name]]</f>
        <v>mqtt--machine/controller/canister--machinecanister</v>
      </c>
      <c r="L32" t="s">
        <v>374</v>
      </c>
      <c r="M32" s="33" t="str">
        <f>SUBSTITUTE(SUBSTITUTE(SUBSTITUTE(LOWER(L32),"&amp;",""),"  ","-")," ","-")</f>
        <v>number</v>
      </c>
      <c r="N32" s="33" t="str">
        <f>Table4[[#This Row],[Intermediate Qualified System Name]]&amp;"--"&amp;Table4[[#This Row],[Collection Intermediate Qualified Name]]&amp;"--"&amp;Table4[[#This Row],[Dataset Intermediate Qualified Name]]&amp;"--"&amp;Table4[[#This Row],[Field Intermediate Qualified Name]]</f>
        <v>mqtt--machine/controller/canister--machinecanister--number</v>
      </c>
      <c r="P32" t="s">
        <v>174</v>
      </c>
    </row>
    <row r="33" spans="2:17" x14ac:dyDescent="0.3">
      <c r="B33">
        <v>32</v>
      </c>
      <c r="C33" s="31" t="s">
        <v>235</v>
      </c>
      <c r="D33" t="s">
        <v>384</v>
      </c>
      <c r="E33" t="s">
        <v>326</v>
      </c>
      <c r="F33" s="33" t="str">
        <f t="shared" ref="F33:F44" si="11">SUBSTITUTE(SUBSTITUTE(SUBSTITUTE(SUBSTITUTE(LOWER(E33),"&amp;",""),"-",""),"  ","-")," ","-")</f>
        <v>mqtt</v>
      </c>
      <c r="G33" t="s">
        <v>378</v>
      </c>
      <c r="H33" s="33" t="str">
        <f t="shared" ref="H33:H44" si="12">SUBSTITUTE(SUBSTITUTE(SUBSTITUTE(SUBSTITUTE(LOWER(G33),"&amp;",""),"-",""),"  ","-")," ","-")</f>
        <v>machine/controller/canister</v>
      </c>
      <c r="I33" t="s">
        <v>379</v>
      </c>
      <c r="J33" s="33" t="str">
        <f t="shared" si="9"/>
        <v>machinecanister</v>
      </c>
      <c r="K33" s="33" t="str">
        <f>Table4[[#This Row],[Intermediate Qualified System Name]]&amp;"--"&amp;Table4[[#This Row],[Collection Intermediate Qualified Name]]&amp;"--"&amp;Table4[[#This Row],[Dataset Intermediate Qualified Name]]</f>
        <v>mqtt--machine/controller/canister--machinecanister</v>
      </c>
      <c r="L33" t="s">
        <v>385</v>
      </c>
      <c r="M33" s="33" t="str">
        <f t="shared" si="10"/>
        <v>outlet</v>
      </c>
      <c r="N33" s="33" t="str">
        <f>Table4[[#This Row],[Intermediate Qualified System Name]]&amp;"--"&amp;Table4[[#This Row],[Collection Intermediate Qualified Name]]&amp;"--"&amp;Table4[[#This Row],[Dataset Intermediate Qualified Name]]&amp;"--"&amp;Table4[[#This Row],[Field Intermediate Qualified Name]]</f>
        <v>mqtt--machine/controller/canister--machinecanister--outlet</v>
      </c>
      <c r="O33"/>
      <c r="P33" t="s">
        <v>174</v>
      </c>
      <c r="Q33"/>
    </row>
    <row r="34" spans="2:17" x14ac:dyDescent="0.3">
      <c r="B34">
        <v>33</v>
      </c>
      <c r="C34" s="31" t="s">
        <v>237</v>
      </c>
      <c r="D34" t="s">
        <v>386</v>
      </c>
      <c r="E34" t="s">
        <v>326</v>
      </c>
      <c r="F34" s="33" t="str">
        <f t="shared" si="11"/>
        <v>mqtt</v>
      </c>
      <c r="G34" t="s">
        <v>378</v>
      </c>
      <c r="H34" s="33" t="str">
        <f t="shared" si="12"/>
        <v>machine/controller/canister</v>
      </c>
      <c r="I34" t="s">
        <v>379</v>
      </c>
      <c r="J34" s="33" t="str">
        <f t="shared" si="9"/>
        <v>machinecanister</v>
      </c>
      <c r="K34" s="33" t="str">
        <f>Table4[[#This Row],[Intermediate Qualified System Name]]&amp;"--"&amp;Table4[[#This Row],[Collection Intermediate Qualified Name]]&amp;"--"&amp;Table4[[#This Row],[Dataset Intermediate Qualified Name]]</f>
        <v>mqtt--machine/controller/canister--machinecanister</v>
      </c>
      <c r="L34" t="s">
        <v>387</v>
      </c>
      <c r="M34" s="33" t="str">
        <f t="shared" si="10"/>
        <v>type</v>
      </c>
      <c r="N34" s="33" t="str">
        <f>Table4[[#This Row],[Intermediate Qualified System Name]]&amp;"--"&amp;Table4[[#This Row],[Collection Intermediate Qualified Name]]&amp;"--"&amp;Table4[[#This Row],[Dataset Intermediate Qualified Name]]&amp;"--"&amp;Table4[[#This Row],[Field Intermediate Qualified Name]]</f>
        <v>mqtt--machine/controller/canister--machinecanister--type</v>
      </c>
      <c r="O34"/>
      <c r="P34" t="s">
        <v>168</v>
      </c>
      <c r="Q34"/>
    </row>
    <row r="35" spans="2:17" x14ac:dyDescent="0.3">
      <c r="B35">
        <v>34</v>
      </c>
      <c r="C35" s="31" t="s">
        <v>239</v>
      </c>
      <c r="D35" t="s">
        <v>388</v>
      </c>
      <c r="E35" t="s">
        <v>326</v>
      </c>
      <c r="F35" s="33" t="str">
        <f t="shared" si="11"/>
        <v>mqtt</v>
      </c>
      <c r="G35" t="s">
        <v>378</v>
      </c>
      <c r="H35" s="33" t="str">
        <f t="shared" si="12"/>
        <v>machine/controller/canister</v>
      </c>
      <c r="I35" t="s">
        <v>379</v>
      </c>
      <c r="J35" s="33" t="str">
        <f t="shared" si="9"/>
        <v>machinecanister</v>
      </c>
      <c r="K35" s="33" t="str">
        <f>Table4[[#This Row],[Intermediate Qualified System Name]]&amp;"--"&amp;Table4[[#This Row],[Collection Intermediate Qualified Name]]&amp;"--"&amp;Table4[[#This Row],[Dataset Intermediate Qualified Name]]</f>
        <v>mqtt--machine/controller/canister--machinecanister</v>
      </c>
      <c r="L35" t="s">
        <v>376</v>
      </c>
      <c r="M35" s="33" t="str">
        <f t="shared" si="10"/>
        <v>label</v>
      </c>
      <c r="N35" s="33" t="str">
        <f>Table4[[#This Row],[Intermediate Qualified System Name]]&amp;"--"&amp;Table4[[#This Row],[Collection Intermediate Qualified Name]]&amp;"--"&amp;Table4[[#This Row],[Dataset Intermediate Qualified Name]]&amp;"--"&amp;Table4[[#This Row],[Field Intermediate Qualified Name]]</f>
        <v>mqtt--machine/controller/canister--machinecanister--label</v>
      </c>
      <c r="O35"/>
      <c r="P35" s="31" t="s">
        <v>168</v>
      </c>
      <c r="Q35"/>
    </row>
    <row r="36" spans="2:17" x14ac:dyDescent="0.3">
      <c r="B36">
        <v>35</v>
      </c>
      <c r="C36" s="31" t="s">
        <v>241</v>
      </c>
      <c r="D36" t="s">
        <v>389</v>
      </c>
      <c r="E36" t="s">
        <v>326</v>
      </c>
      <c r="F36" s="33" t="str">
        <f t="shared" si="11"/>
        <v>mqtt</v>
      </c>
      <c r="G36" t="s">
        <v>390</v>
      </c>
      <c r="H36" s="33" t="str">
        <f t="shared" si="12"/>
        <v>machine/controller/recipe</v>
      </c>
      <c r="I36" t="s">
        <v>391</v>
      </c>
      <c r="J36" s="33" t="str">
        <f t="shared" ref="J36:J44" si="13">SUBSTITUTE(SUBSTITUTE(SUBSTITUTE(SUBSTITUTE(LOWER(I36),"&amp;",""),"-",""),"  ","-")," ","-")</f>
        <v>machinerecipe</v>
      </c>
      <c r="K36" s="33" t="str">
        <f>Table4[[#This Row],[Intermediate Qualified System Name]]&amp;"--"&amp;Table4[[#This Row],[Collection Intermediate Qualified Name]]&amp;"--"&amp;Table4[[#This Row],[Dataset Intermediate Qualified Name]]</f>
        <v>mqtt--machine/controller/recipe--machinerecipe</v>
      </c>
      <c r="L36" t="s">
        <v>353</v>
      </c>
      <c r="M36" s="33" t="str">
        <f>SUBSTITUTE(SUBSTITUTE(SUBSTITUTE(LOWER(L36),"&amp;",""),"  ","-")," ","-")</f>
        <v>id</v>
      </c>
      <c r="N36" s="33" t="str">
        <f>Table4[[#This Row],[Intermediate Qualified System Name]]&amp;"--"&amp;Table4[[#This Row],[Collection Intermediate Qualified Name]]&amp;"--"&amp;Table4[[#This Row],[Dataset Intermediate Qualified Name]]&amp;"--"&amp;Table4[[#This Row],[Field Intermediate Qualified Name]]</f>
        <v>mqtt--machine/controller/recipe--machinerecipe--id</v>
      </c>
      <c r="O36"/>
      <c r="P36" t="s">
        <v>195</v>
      </c>
      <c r="Q36"/>
    </row>
    <row r="37" spans="2:17" x14ac:dyDescent="0.3">
      <c r="B37">
        <v>36</v>
      </c>
      <c r="C37" s="31" t="s">
        <v>243</v>
      </c>
      <c r="D37" t="s">
        <v>392</v>
      </c>
      <c r="E37" t="s">
        <v>326</v>
      </c>
      <c r="F37" s="33" t="str">
        <f t="shared" si="11"/>
        <v>mqtt</v>
      </c>
      <c r="G37" t="s">
        <v>393</v>
      </c>
      <c r="H37" s="33" t="str">
        <f t="shared" si="12"/>
        <v>machine/controller/beverage</v>
      </c>
      <c r="I37" t="s">
        <v>394</v>
      </c>
      <c r="J37" s="33" t="str">
        <f t="shared" si="13"/>
        <v>machinebeverage</v>
      </c>
      <c r="K37" s="33" t="str">
        <f>Table4[[#This Row],[Intermediate Qualified System Name]]&amp;"--"&amp;Table4[[#This Row],[Collection Intermediate Qualified Name]]&amp;"--"&amp;Table4[[#This Row],[Dataset Intermediate Qualified Name]]</f>
        <v>mqtt--machine/controller/beverage--machinebeverage</v>
      </c>
      <c r="L37" t="s">
        <v>353</v>
      </c>
      <c r="M37" s="33" t="str">
        <f>SUBSTITUTE(SUBSTITUTE(SUBSTITUTE(LOWER(L37),"&amp;",""),"  ","-")," ","-")</f>
        <v>id</v>
      </c>
      <c r="N37" s="33" t="str">
        <f>Table4[[#This Row],[Intermediate Qualified System Name]]&amp;"--"&amp;Table4[[#This Row],[Collection Intermediate Qualified Name]]&amp;"--"&amp;Table4[[#This Row],[Dataset Intermediate Qualified Name]]&amp;"--"&amp;Table4[[#This Row],[Field Intermediate Qualified Name]]</f>
        <v>mqtt--machine/controller/beverage--machinebeverage--id</v>
      </c>
      <c r="O37"/>
      <c r="P37" t="s">
        <v>195</v>
      </c>
      <c r="Q37"/>
    </row>
    <row r="38" spans="2:17" x14ac:dyDescent="0.3">
      <c r="B38">
        <v>37</v>
      </c>
      <c r="C38" s="31" t="s">
        <v>245</v>
      </c>
      <c r="D38" t="s">
        <v>395</v>
      </c>
      <c r="E38" t="s">
        <v>326</v>
      </c>
      <c r="F38" s="33" t="str">
        <f t="shared" si="11"/>
        <v>mqtt</v>
      </c>
      <c r="G38" t="s">
        <v>396</v>
      </c>
      <c r="H38" s="33" t="str">
        <f t="shared" si="12"/>
        <v>machine/controller/state</v>
      </c>
      <c r="I38" t="s">
        <v>397</v>
      </c>
      <c r="J38" s="33" t="str">
        <f t="shared" si="13"/>
        <v>machinestate</v>
      </c>
      <c r="K38" s="33" t="str">
        <f>Table4[[#This Row],[Intermediate Qualified System Name]]&amp;"--"&amp;Table4[[#This Row],[Collection Intermediate Qualified Name]]&amp;"--"&amp;Table4[[#This Row],[Dataset Intermediate Qualified Name]]</f>
        <v>mqtt--machine/controller/state--machinestate</v>
      </c>
      <c r="L38" t="s">
        <v>398</v>
      </c>
      <c r="M38" s="33" t="str">
        <f>SUBSTITUTE(SUBSTITUTE(SUBSTITUTE(LOWER(L38),"&amp;",""),"  ","-")," ","-")</f>
        <v>master</v>
      </c>
      <c r="N38" s="33" t="str">
        <f>Table4[[#This Row],[Intermediate Qualified System Name]]&amp;"--"&amp;Table4[[#This Row],[Collection Intermediate Qualified Name]]&amp;"--"&amp;Table4[[#This Row],[Dataset Intermediate Qualified Name]]&amp;"--"&amp;Table4[[#This Row],[Field Intermediate Qualified Name]]</f>
        <v>mqtt--machine/controller/state--machinestate--master</v>
      </c>
      <c r="O38"/>
      <c r="P38" t="s">
        <v>168</v>
      </c>
      <c r="Q38"/>
    </row>
    <row r="39" spans="2:17" x14ac:dyDescent="0.3">
      <c r="B39">
        <v>38</v>
      </c>
      <c r="C39" s="31" t="s">
        <v>247</v>
      </c>
      <c r="D39" t="s">
        <v>399</v>
      </c>
      <c r="E39" t="s">
        <v>326</v>
      </c>
      <c r="F39" s="33" t="str">
        <f t="shared" si="11"/>
        <v>mqtt</v>
      </c>
      <c r="G39" t="s">
        <v>396</v>
      </c>
      <c r="H39" s="33" t="str">
        <f t="shared" si="12"/>
        <v>machine/controller/state</v>
      </c>
      <c r="I39" t="s">
        <v>397</v>
      </c>
      <c r="J39" s="33" t="str">
        <f t="shared" si="13"/>
        <v>machinestate</v>
      </c>
      <c r="K39" s="33" t="str">
        <f>Table4[[#This Row],[Intermediate Qualified System Name]]&amp;"--"&amp;Table4[[#This Row],[Collection Intermediate Qualified Name]]&amp;"--"&amp;Table4[[#This Row],[Dataset Intermediate Qualified Name]]</f>
        <v>mqtt--machine/controller/state--machinestate</v>
      </c>
      <c r="L39" t="s">
        <v>400</v>
      </c>
      <c r="M39" s="33" t="str">
        <f>SUBSTITUTE(SUBSTITUTE(SUBSTITUTE(LOWER(L39),"&amp;",""),"  ","-")," ","-")</f>
        <v>state</v>
      </c>
      <c r="N39" s="33" t="str">
        <f>Table4[[#This Row],[Intermediate Qualified System Name]]&amp;"--"&amp;Table4[[#This Row],[Collection Intermediate Qualified Name]]&amp;"--"&amp;Table4[[#This Row],[Dataset Intermediate Qualified Name]]&amp;"--"&amp;Table4[[#This Row],[Field Intermediate Qualified Name]]</f>
        <v>mqtt--machine/controller/state--machinestate--state</v>
      </c>
      <c r="O39"/>
      <c r="P39" t="s">
        <v>168</v>
      </c>
      <c r="Q39"/>
    </row>
    <row r="40" spans="2:17" x14ac:dyDescent="0.3">
      <c r="B40">
        <v>39</v>
      </c>
      <c r="C40" s="31" t="s">
        <v>250</v>
      </c>
      <c r="D40" t="s">
        <v>401</v>
      </c>
      <c r="E40" t="s">
        <v>402</v>
      </c>
      <c r="F40" s="33" t="str">
        <f t="shared" si="11"/>
        <v>database</v>
      </c>
      <c r="G40" t="s">
        <v>403</v>
      </c>
      <c r="H40" s="33" t="str">
        <f t="shared" si="12"/>
        <v>relational-database</v>
      </c>
      <c r="I40" t="s">
        <v>404</v>
      </c>
      <c r="J40" s="33" t="str">
        <f t="shared" si="13"/>
        <v>user-table</v>
      </c>
      <c r="K40" s="33" t="str">
        <f>Table4[[#This Row],[Intermediate Qualified System Name]]&amp;"--"&amp;Table4[[#This Row],[Collection Intermediate Qualified Name]]&amp;"--"&amp;Table4[[#This Row],[Dataset Intermediate Qualified Name]]</f>
        <v>database--relational-database--user-table</v>
      </c>
      <c r="L40" t="s">
        <v>339</v>
      </c>
      <c r="M40" s="33" t="str">
        <f>SUBSTITUTE(SUBSTITUTE(SUBSTITUTE(LOWER(L40),"&amp;",""),"  ","-")," ","-")</f>
        <v>name</v>
      </c>
      <c r="N40" s="33" t="str">
        <f>Table4[[#This Row],[Intermediate Qualified System Name]]&amp;"--"&amp;Table4[[#This Row],[Collection Intermediate Qualified Name]]&amp;"--"&amp;Table4[[#This Row],[Dataset Intermediate Qualified Name]]&amp;"--"&amp;Table4[[#This Row],[Field Intermediate Qualified Name]]</f>
        <v>database--relational-database--user-table--name</v>
      </c>
      <c r="O40"/>
      <c r="P40" t="s">
        <v>168</v>
      </c>
      <c r="Q40"/>
    </row>
    <row r="41" spans="2:17" x14ac:dyDescent="0.3">
      <c r="B41">
        <v>40</v>
      </c>
      <c r="C41" s="31" t="s">
        <v>166</v>
      </c>
      <c r="D41" t="s">
        <v>325</v>
      </c>
      <c r="E41" t="s">
        <v>402</v>
      </c>
      <c r="F41" s="33" t="str">
        <f t="shared" si="11"/>
        <v>database</v>
      </c>
      <c r="G41" t="s">
        <v>403</v>
      </c>
      <c r="H41" s="33" t="str">
        <f t="shared" si="12"/>
        <v>relational-database</v>
      </c>
      <c r="I41" t="s">
        <v>405</v>
      </c>
      <c r="J41" s="33" t="str">
        <f t="shared" si="13"/>
        <v>beverage-table</v>
      </c>
      <c r="K41" s="33" t="str">
        <f>Table4[[#This Row],[Intermediate Qualified System Name]]&amp;"--"&amp;Table4[[#This Row],[Collection Intermediate Qualified Name]]&amp;"--"&amp;Table4[[#This Row],[Dataset Intermediate Qualified Name]]</f>
        <v>database--relational-database--beverage-table</v>
      </c>
      <c r="L41" t="s">
        <v>339</v>
      </c>
      <c r="M41" s="33" t="str">
        <f t="shared" ref="M41:M45" si="14">SUBSTITUTE(SUBSTITUTE(SUBSTITUTE(LOWER(L41),"&amp;",""),"  ","-")," ","-")</f>
        <v>name</v>
      </c>
      <c r="N41" s="33" t="str">
        <f>Table4[[#This Row],[Intermediate Qualified System Name]]&amp;"--"&amp;Table4[[#This Row],[Collection Intermediate Qualified Name]]&amp;"--"&amp;Table4[[#This Row],[Dataset Intermediate Qualified Name]]&amp;"--"&amp;Table4[[#This Row],[Field Intermediate Qualified Name]]</f>
        <v>database--relational-database--beverage-table--name</v>
      </c>
      <c r="O41"/>
      <c r="P41" t="s">
        <v>168</v>
      </c>
      <c r="Q41"/>
    </row>
    <row r="42" spans="2:17" x14ac:dyDescent="0.3">
      <c r="B42">
        <v>41</v>
      </c>
      <c r="C42" s="31" t="s">
        <v>253</v>
      </c>
      <c r="D42" t="s">
        <v>406</v>
      </c>
      <c r="E42" t="s">
        <v>402</v>
      </c>
      <c r="F42" s="33" t="str">
        <f t="shared" si="11"/>
        <v>database</v>
      </c>
      <c r="G42" t="s">
        <v>403</v>
      </c>
      <c r="H42" s="33" t="str">
        <f t="shared" si="12"/>
        <v>relational-database</v>
      </c>
      <c r="I42" t="s">
        <v>407</v>
      </c>
      <c r="J42" s="33" t="str">
        <f t="shared" si="13"/>
        <v>machine-table</v>
      </c>
      <c r="K42" s="33" t="str">
        <f>Table4[[#This Row],[Intermediate Qualified System Name]]&amp;"--"&amp;Table4[[#This Row],[Collection Intermediate Qualified Name]]&amp;"--"&amp;Table4[[#This Row],[Dataset Intermediate Qualified Name]]</f>
        <v>database--relational-database--machine-table</v>
      </c>
      <c r="L42" t="s">
        <v>408</v>
      </c>
      <c r="M42" s="33" t="str">
        <f t="shared" si="14"/>
        <v>location</v>
      </c>
      <c r="N42" s="33" t="str">
        <f>Table4[[#This Row],[Intermediate Qualified System Name]]&amp;"--"&amp;Table4[[#This Row],[Collection Intermediate Qualified Name]]&amp;"--"&amp;Table4[[#This Row],[Dataset Intermediate Qualified Name]]&amp;"--"&amp;Table4[[#This Row],[Field Intermediate Qualified Name]]</f>
        <v>database--relational-database--machine-table--location</v>
      </c>
      <c r="O42"/>
      <c r="P42" t="s">
        <v>168</v>
      </c>
      <c r="Q42"/>
    </row>
    <row r="43" spans="2:17" x14ac:dyDescent="0.3">
      <c r="B43">
        <v>42</v>
      </c>
      <c r="C43" s="31" t="s">
        <v>255</v>
      </c>
      <c r="D43" t="s">
        <v>409</v>
      </c>
      <c r="E43" t="s">
        <v>402</v>
      </c>
      <c r="F43" s="33" t="str">
        <f t="shared" si="11"/>
        <v>database</v>
      </c>
      <c r="G43" t="s">
        <v>403</v>
      </c>
      <c r="H43" s="33" t="str">
        <f t="shared" si="12"/>
        <v>relational-database</v>
      </c>
      <c r="I43" t="s">
        <v>407</v>
      </c>
      <c r="J43" s="33" t="str">
        <f t="shared" si="13"/>
        <v>machine-table</v>
      </c>
      <c r="K43" s="33" t="str">
        <f>Table4[[#This Row],[Intermediate Qualified System Name]]&amp;"--"&amp;Table4[[#This Row],[Collection Intermediate Qualified Name]]&amp;"--"&amp;Table4[[#This Row],[Dataset Intermediate Qualified Name]]</f>
        <v>database--relational-database--machine-table</v>
      </c>
      <c r="L43" t="s">
        <v>410</v>
      </c>
      <c r="M43" s="33" t="str">
        <f t="shared" si="14"/>
        <v>name</v>
      </c>
      <c r="N43" s="33" t="str">
        <f>Table4[[#This Row],[Intermediate Qualified System Name]]&amp;"--"&amp;Table4[[#This Row],[Collection Intermediate Qualified Name]]&amp;"--"&amp;Table4[[#This Row],[Dataset Intermediate Qualified Name]]&amp;"--"&amp;Table4[[#This Row],[Field Intermediate Qualified Name]]</f>
        <v>database--relational-database--machine-table--name</v>
      </c>
      <c r="O43"/>
      <c r="P43" t="s">
        <v>168</v>
      </c>
      <c r="Q43"/>
    </row>
    <row r="44" spans="2:17" x14ac:dyDescent="0.3">
      <c r="B44">
        <v>43</v>
      </c>
      <c r="C44" s="31" t="s">
        <v>261</v>
      </c>
      <c r="D44" t="s">
        <v>411</v>
      </c>
      <c r="E44" t="s">
        <v>402</v>
      </c>
      <c r="F44" s="33" t="str">
        <f t="shared" si="11"/>
        <v>database</v>
      </c>
      <c r="G44" t="s">
        <v>403</v>
      </c>
      <c r="H44" s="33" t="str">
        <f t="shared" si="12"/>
        <v>relational-database</v>
      </c>
      <c r="I44" t="s">
        <v>412</v>
      </c>
      <c r="J44" s="33" t="str">
        <f t="shared" si="13"/>
        <v>machine_tag-table</v>
      </c>
      <c r="K44" s="33" t="str">
        <f>Table4[[#This Row],[Intermediate Qualified System Name]]&amp;"--"&amp;Table4[[#This Row],[Collection Intermediate Qualified Name]]&amp;"--"&amp;Table4[[#This Row],[Dataset Intermediate Qualified Name]]</f>
        <v>database--relational-database--machine_tag-table</v>
      </c>
      <c r="L44" t="s">
        <v>413</v>
      </c>
      <c r="M44" s="33" t="str">
        <f t="shared" si="14"/>
        <v>tag</v>
      </c>
      <c r="N44" s="33" t="str">
        <f>Table4[[#This Row],[Intermediate Qualified System Name]]&amp;"--"&amp;Table4[[#This Row],[Collection Intermediate Qualified Name]]&amp;"--"&amp;Table4[[#This Row],[Dataset Intermediate Qualified Name]]&amp;"--"&amp;Table4[[#This Row],[Field Intermediate Qualified Name]]</f>
        <v>database--relational-database--machine_tag-table--tag</v>
      </c>
      <c r="O44"/>
      <c r="P44" t="s">
        <v>168</v>
      </c>
      <c r="Q44"/>
    </row>
    <row r="45" spans="2:17" x14ac:dyDescent="0.3">
      <c r="B45">
        <v>44</v>
      </c>
      <c r="C45" s="31" t="s">
        <v>257</v>
      </c>
      <c r="D45" t="s">
        <v>414</v>
      </c>
      <c r="E45" t="s">
        <v>402</v>
      </c>
      <c r="F45" s="33" t="str">
        <f t="shared" si="6"/>
        <v>database</v>
      </c>
      <c r="G45" t="s">
        <v>415</v>
      </c>
      <c r="H45" s="33" t="str">
        <f t="shared" si="5"/>
        <v>object-database</v>
      </c>
      <c r="I45" t="s">
        <v>416</v>
      </c>
      <c r="J45" s="33" t="str">
        <f t="shared" ref="J45" si="15">SUBSTITUTE(SUBSTITUTE(SUBSTITUTE(SUBSTITUTE(LOWER(I45),"&amp;",""),"-",""),"  ","-")," ","-")</f>
        <v>ordercontainer</v>
      </c>
      <c r="K45" s="33" t="str">
        <f>Table4[[#This Row],[Intermediate Qualified System Name]]&amp;"--"&amp;Table4[[#This Row],[Collection Intermediate Qualified Name]]&amp;"--"&amp;Table4[[#This Row],[Dataset Intermediate Qualified Name]]</f>
        <v>database--object-database--ordercontainer</v>
      </c>
      <c r="L45" t="s">
        <v>417</v>
      </c>
      <c r="M45" s="33" t="str">
        <f t="shared" si="14"/>
        <v>timestamp</v>
      </c>
      <c r="N45" s="33" t="str">
        <f>Table4[[#This Row],[Intermediate Qualified System Name]]&amp;"--"&amp;Table4[[#This Row],[Collection Intermediate Qualified Name]]&amp;"--"&amp;Table4[[#This Row],[Dataset Intermediate Qualified Name]]&amp;"--"&amp;Table4[[#This Row],[Field Intermediate Qualified Name]]</f>
        <v>database--object-database--ordercontainer--timestamp</v>
      </c>
      <c r="O45"/>
      <c r="P45" t="s">
        <v>4</v>
      </c>
      <c r="Q45"/>
    </row>
    <row r="46" spans="2:17" x14ac:dyDescent="0.3">
      <c r="B46">
        <v>45</v>
      </c>
      <c r="C46" s="31" t="s">
        <v>259</v>
      </c>
      <c r="D46" t="s">
        <v>418</v>
      </c>
      <c r="E46" t="s">
        <v>402</v>
      </c>
      <c r="F46" s="33" t="str">
        <f t="shared" ref="F46:F89" si="16">SUBSTITUTE(SUBSTITUTE(SUBSTITUTE(SUBSTITUTE(LOWER(E46),"&amp;",""),"-",""),"  ","-")," ","-")</f>
        <v>database</v>
      </c>
      <c r="G46" t="s">
        <v>419</v>
      </c>
      <c r="H46" s="33" t="str">
        <f t="shared" ref="H46:H89" si="17">SUBSTITUTE(SUBSTITUTE(SUBSTITUTE(SUBSTITUTE(LOWER(G46),"&amp;",""),"-",""),"  ","-")," ","-")</f>
        <v>relational-database</v>
      </c>
      <c r="I46" t="s">
        <v>420</v>
      </c>
      <c r="J46" s="33" t="str">
        <f t="shared" ref="J46:J89" si="18">SUBSTITUTE(SUBSTITUTE(SUBSTITUTE(SUBSTITUTE(LOWER(I46),"&amp;",""),"-",""),"  ","-")," ","-")</f>
        <v>eventtype</v>
      </c>
      <c r="K46" s="33" t="str">
        <f>Table4[[#This Row],[Intermediate Qualified System Name]]&amp;"--"&amp;Table4[[#This Row],[Collection Intermediate Qualified Name]]&amp;"--"&amp;Table4[[#This Row],[Dataset Intermediate Qualified Name]]</f>
        <v>database--relational-database--eventtype</v>
      </c>
      <c r="L46" t="s">
        <v>339</v>
      </c>
      <c r="M46" s="33" t="str">
        <f t="shared" ref="M46:M89" si="19">SUBSTITUTE(SUBSTITUTE(SUBSTITUTE(LOWER(L46),"&amp;",""),"  ","-")," ","-")</f>
        <v>name</v>
      </c>
      <c r="N46" s="33" t="str">
        <f>Table4[[#This Row],[Intermediate Qualified System Name]]&amp;"--"&amp;Table4[[#This Row],[Collection Intermediate Qualified Name]]&amp;"--"&amp;Table4[[#This Row],[Dataset Intermediate Qualified Name]]&amp;"--"&amp;Table4[[#This Row],[Field Intermediate Qualified Name]]</f>
        <v>database--relational-database--eventtype--name</v>
      </c>
      <c r="P46" t="s">
        <v>168</v>
      </c>
    </row>
    <row r="47" spans="2:17" x14ac:dyDescent="0.3">
      <c r="B47">
        <v>46</v>
      </c>
      <c r="C47" s="31" t="s">
        <v>261</v>
      </c>
      <c r="D47" t="s">
        <v>411</v>
      </c>
      <c r="E47" t="s">
        <v>402</v>
      </c>
      <c r="F47" s="33" t="str">
        <f t="shared" si="16"/>
        <v>database</v>
      </c>
      <c r="G47" t="s">
        <v>419</v>
      </c>
      <c r="H47" s="33" t="str">
        <f t="shared" si="17"/>
        <v>relational-database</v>
      </c>
      <c r="I47" t="s">
        <v>407</v>
      </c>
      <c r="J47" s="33" t="str">
        <f t="shared" si="18"/>
        <v>machine-table</v>
      </c>
      <c r="K47" s="33" t="str">
        <f>Table4[[#This Row],[Intermediate Qualified System Name]]&amp;"--"&amp;Table4[[#This Row],[Collection Intermediate Qualified Name]]&amp;"--"&amp;Table4[[#This Row],[Dataset Intermediate Qualified Name]]</f>
        <v>database--relational-database--machine-table</v>
      </c>
      <c r="L47" t="s">
        <v>421</v>
      </c>
      <c r="M47" s="33" t="str">
        <f t="shared" si="19"/>
        <v>tags</v>
      </c>
      <c r="N47" s="33" t="str">
        <f>Table4[[#This Row],[Intermediate Qualified System Name]]&amp;"--"&amp;Table4[[#This Row],[Collection Intermediate Qualified Name]]&amp;"--"&amp;Table4[[#This Row],[Dataset Intermediate Qualified Name]]&amp;"--"&amp;Table4[[#This Row],[Field Intermediate Qualified Name]]</f>
        <v>database--relational-database--machine-table--tags</v>
      </c>
      <c r="P47" t="s">
        <v>168</v>
      </c>
    </row>
    <row r="48" spans="2:17" x14ac:dyDescent="0.3">
      <c r="B48">
        <v>47</v>
      </c>
      <c r="C48" s="31" t="s">
        <v>263</v>
      </c>
      <c r="D48" t="s">
        <v>422</v>
      </c>
      <c r="E48" t="s">
        <v>402</v>
      </c>
      <c r="F48" s="33" t="str">
        <f t="shared" si="16"/>
        <v>database</v>
      </c>
      <c r="G48" t="s">
        <v>419</v>
      </c>
      <c r="H48" s="33" t="str">
        <f t="shared" si="17"/>
        <v>relational-database</v>
      </c>
      <c r="I48" t="s">
        <v>423</v>
      </c>
      <c r="J48" s="33" t="str">
        <f t="shared" si="18"/>
        <v>machinetag-table</v>
      </c>
      <c r="K48" s="33" t="str">
        <f>Table4[[#This Row],[Intermediate Qualified System Name]]&amp;"--"&amp;Table4[[#This Row],[Collection Intermediate Qualified Name]]&amp;"--"&amp;Table4[[#This Row],[Dataset Intermediate Qualified Name]]</f>
        <v>database--relational-database--machinetag-table</v>
      </c>
      <c r="L48" t="s">
        <v>421</v>
      </c>
      <c r="M48" s="33" t="str">
        <f t="shared" si="19"/>
        <v>tags</v>
      </c>
      <c r="N48" s="33" t="str">
        <f>Table4[[#This Row],[Intermediate Qualified System Name]]&amp;"--"&amp;Table4[[#This Row],[Collection Intermediate Qualified Name]]&amp;"--"&amp;Table4[[#This Row],[Dataset Intermediate Qualified Name]]&amp;"--"&amp;Table4[[#This Row],[Field Intermediate Qualified Name]]</f>
        <v>database--relational-database--machinetag-table--tags</v>
      </c>
      <c r="P48" t="s">
        <v>168</v>
      </c>
    </row>
    <row r="49" spans="2:16" x14ac:dyDescent="0.3">
      <c r="B49">
        <v>48</v>
      </c>
      <c r="C49" s="31" t="s">
        <v>265</v>
      </c>
      <c r="D49" t="s">
        <v>424</v>
      </c>
      <c r="E49" t="s">
        <v>326</v>
      </c>
      <c r="F49" s="33" t="str">
        <f t="shared" si="16"/>
        <v>mqtt</v>
      </c>
      <c r="G49" t="s">
        <v>425</v>
      </c>
      <c r="H49" s="33" t="str">
        <f t="shared" si="17"/>
        <v>machine/info/serial</v>
      </c>
      <c r="I49" t="s">
        <v>423</v>
      </c>
      <c r="J49" s="33" t="str">
        <f t="shared" si="18"/>
        <v>machinetag-table</v>
      </c>
      <c r="K49" s="33" t="str">
        <f>Table4[[#This Row],[Intermediate Qualified System Name]]&amp;"--"&amp;Table4[[#This Row],[Collection Intermediate Qualified Name]]&amp;"--"&amp;Table4[[#This Row],[Dataset Intermediate Qualified Name]]</f>
        <v>mqtt--machine/info/serial--machinetag-table</v>
      </c>
      <c r="L49" t="s">
        <v>426</v>
      </c>
      <c r="M49" s="33" t="str">
        <f t="shared" si="19"/>
        <v>serial</v>
      </c>
      <c r="N49" s="33" t="str">
        <f>Table4[[#This Row],[Intermediate Qualified System Name]]&amp;"--"&amp;Table4[[#This Row],[Collection Intermediate Qualified Name]]&amp;"--"&amp;Table4[[#This Row],[Dataset Intermediate Qualified Name]]&amp;"--"&amp;Table4[[#This Row],[Field Intermediate Qualified Name]]</f>
        <v>mqtt--machine/info/serial--machinetag-table--serial</v>
      </c>
      <c r="P49" t="s">
        <v>168</v>
      </c>
    </row>
    <row r="50" spans="2:16" x14ac:dyDescent="0.3">
      <c r="B50">
        <v>49</v>
      </c>
      <c r="C50" s="31" t="s">
        <v>267</v>
      </c>
      <c r="D50" t="s">
        <v>427</v>
      </c>
      <c r="E50" t="s">
        <v>402</v>
      </c>
      <c r="F50" s="33" t="str">
        <f t="shared" si="16"/>
        <v>database</v>
      </c>
      <c r="G50" t="s">
        <v>419</v>
      </c>
      <c r="H50" s="33" t="str">
        <f t="shared" si="17"/>
        <v>relational-database</v>
      </c>
      <c r="I50" t="s">
        <v>428</v>
      </c>
      <c r="J50" s="33" t="str">
        <f t="shared" si="18"/>
        <v>event-table</v>
      </c>
      <c r="K50" s="33" t="str">
        <f>Table4[[#This Row],[Intermediate Qualified System Name]]&amp;"--"&amp;Table4[[#This Row],[Collection Intermediate Qualified Name]]&amp;"--"&amp;Table4[[#This Row],[Dataset Intermediate Qualified Name]]</f>
        <v>database--relational-database--event-table</v>
      </c>
      <c r="L50" t="s">
        <v>429</v>
      </c>
      <c r="M50" s="33" t="str">
        <f t="shared" si="19"/>
        <v>title</v>
      </c>
      <c r="N50" s="33" t="str">
        <f>Table4[[#This Row],[Intermediate Qualified System Name]]&amp;"--"&amp;Table4[[#This Row],[Collection Intermediate Qualified Name]]&amp;"--"&amp;Table4[[#This Row],[Dataset Intermediate Qualified Name]]&amp;"--"&amp;Table4[[#This Row],[Field Intermediate Qualified Name]]</f>
        <v>database--relational-database--event-table--title</v>
      </c>
      <c r="P50" t="s">
        <v>168</v>
      </c>
    </row>
    <row r="51" spans="2:16" x14ac:dyDescent="0.3">
      <c r="B51">
        <v>50</v>
      </c>
      <c r="C51" s="31" t="s">
        <v>269</v>
      </c>
      <c r="D51" t="s">
        <v>430</v>
      </c>
      <c r="E51" t="s">
        <v>402</v>
      </c>
      <c r="F51" s="33" t="str">
        <f t="shared" si="16"/>
        <v>database</v>
      </c>
      <c r="G51" t="s">
        <v>419</v>
      </c>
      <c r="H51" s="33" t="str">
        <f t="shared" si="17"/>
        <v>relational-database</v>
      </c>
      <c r="I51" t="s">
        <v>431</v>
      </c>
      <c r="J51" s="33" t="str">
        <f t="shared" si="18"/>
        <v>machineevent-table</v>
      </c>
      <c r="K51" s="33" t="str">
        <f>Table4[[#This Row],[Intermediate Qualified System Name]]&amp;"--"&amp;Table4[[#This Row],[Collection Intermediate Qualified Name]]&amp;"--"&amp;Table4[[#This Row],[Dataset Intermediate Qualified Name]]</f>
        <v>database--relational-database--machineevent-table</v>
      </c>
      <c r="L51" t="s">
        <v>432</v>
      </c>
      <c r="M51" s="33" t="str">
        <f t="shared" si="19"/>
        <v>count()</v>
      </c>
      <c r="N51" s="33" t="str">
        <f>Table4[[#This Row],[Intermediate Qualified System Name]]&amp;"--"&amp;Table4[[#This Row],[Collection Intermediate Qualified Name]]&amp;"--"&amp;Table4[[#This Row],[Dataset Intermediate Qualified Name]]&amp;"--"&amp;Table4[[#This Row],[Field Intermediate Qualified Name]]</f>
        <v>database--relational-database--machineevent-table--count()</v>
      </c>
      <c r="P51" t="s">
        <v>174</v>
      </c>
    </row>
    <row r="52" spans="2:16" x14ac:dyDescent="0.3">
      <c r="B52">
        <v>51</v>
      </c>
      <c r="C52" s="31" t="s">
        <v>271</v>
      </c>
      <c r="D52" t="s">
        <v>433</v>
      </c>
      <c r="E52" t="s">
        <v>402</v>
      </c>
      <c r="F52" s="33" t="str">
        <f t="shared" si="16"/>
        <v>database</v>
      </c>
      <c r="G52" t="s">
        <v>419</v>
      </c>
      <c r="H52" s="33" t="str">
        <f t="shared" si="17"/>
        <v>relational-database</v>
      </c>
      <c r="I52" t="s">
        <v>431</v>
      </c>
      <c r="J52" s="33" t="str">
        <f t="shared" si="18"/>
        <v>machineevent-table</v>
      </c>
      <c r="K52" s="33" t="str">
        <f>Table4[[#This Row],[Intermediate Qualified System Name]]&amp;"--"&amp;Table4[[#This Row],[Collection Intermediate Qualified Name]]&amp;"--"&amp;Table4[[#This Row],[Dataset Intermediate Qualified Name]]</f>
        <v>database--relational-database--machineevent-table</v>
      </c>
      <c r="L52" t="s">
        <v>432</v>
      </c>
      <c r="M52" s="33" t="str">
        <f t="shared" si="19"/>
        <v>count()</v>
      </c>
      <c r="N52" s="33" t="str">
        <f>Table4[[#This Row],[Intermediate Qualified System Name]]&amp;"--"&amp;Table4[[#This Row],[Collection Intermediate Qualified Name]]&amp;"--"&amp;Table4[[#This Row],[Dataset Intermediate Qualified Name]]&amp;"--"&amp;Table4[[#This Row],[Field Intermediate Qualified Name]]</f>
        <v>database--relational-database--machineevent-table--count()</v>
      </c>
      <c r="P52" t="s">
        <v>174</v>
      </c>
    </row>
    <row r="53" spans="2:16" x14ac:dyDescent="0.3">
      <c r="B53">
        <v>52</v>
      </c>
      <c r="C53" s="31" t="s">
        <v>273</v>
      </c>
      <c r="D53" t="s">
        <v>434</v>
      </c>
      <c r="E53" t="s">
        <v>402</v>
      </c>
      <c r="F53" s="33" t="str">
        <f t="shared" si="16"/>
        <v>database</v>
      </c>
      <c r="G53" t="s">
        <v>415</v>
      </c>
      <c r="H53" s="33" t="str">
        <f t="shared" si="17"/>
        <v>object-database</v>
      </c>
      <c r="I53" t="s">
        <v>416</v>
      </c>
      <c r="J53" s="33" t="str">
        <f t="shared" si="18"/>
        <v>ordercontainer</v>
      </c>
      <c r="K53" s="33" t="str">
        <f>Table4[[#This Row],[Intermediate Qualified System Name]]&amp;"--"&amp;Table4[[#This Row],[Collection Intermediate Qualified Name]]&amp;"--"&amp;Table4[[#This Row],[Dataset Intermediate Qualified Name]]</f>
        <v>database--object-database--ordercontainer</v>
      </c>
      <c r="L53" t="s">
        <v>432</v>
      </c>
      <c r="M53" s="33" t="str">
        <f t="shared" si="19"/>
        <v>count()</v>
      </c>
      <c r="N53" s="33" t="str">
        <f>Table4[[#This Row],[Intermediate Qualified System Name]]&amp;"--"&amp;Table4[[#This Row],[Collection Intermediate Qualified Name]]&amp;"--"&amp;Table4[[#This Row],[Dataset Intermediate Qualified Name]]&amp;"--"&amp;Table4[[#This Row],[Field Intermediate Qualified Name]]</f>
        <v>database--object-database--ordercontainer--count()</v>
      </c>
      <c r="P53" t="s">
        <v>174</v>
      </c>
    </row>
    <row r="54" spans="2:16" x14ac:dyDescent="0.3">
      <c r="B54">
        <v>53</v>
      </c>
      <c r="C54" s="31" t="s">
        <v>275</v>
      </c>
      <c r="D54" t="s">
        <v>435</v>
      </c>
      <c r="E54" t="s">
        <v>402</v>
      </c>
      <c r="F54" s="33" t="str">
        <f t="shared" si="16"/>
        <v>database</v>
      </c>
      <c r="G54" t="s">
        <v>415</v>
      </c>
      <c r="H54" s="33" t="str">
        <f t="shared" si="17"/>
        <v>object-database</v>
      </c>
      <c r="I54" t="s">
        <v>416</v>
      </c>
      <c r="J54" s="33" t="str">
        <f t="shared" si="18"/>
        <v>ordercontainer</v>
      </c>
      <c r="K54" s="33" t="str">
        <f>Table4[[#This Row],[Intermediate Qualified System Name]]&amp;"--"&amp;Table4[[#This Row],[Collection Intermediate Qualified Name]]&amp;"--"&amp;Table4[[#This Row],[Dataset Intermediate Qualified Name]]</f>
        <v>database--object-database--ordercontainer</v>
      </c>
      <c r="L54" t="s">
        <v>432</v>
      </c>
      <c r="M54" s="33" t="str">
        <f t="shared" si="19"/>
        <v>count()</v>
      </c>
      <c r="N54" s="33" t="str">
        <f>Table4[[#This Row],[Intermediate Qualified System Name]]&amp;"--"&amp;Table4[[#This Row],[Collection Intermediate Qualified Name]]&amp;"--"&amp;Table4[[#This Row],[Dataset Intermediate Qualified Name]]&amp;"--"&amp;Table4[[#This Row],[Field Intermediate Qualified Name]]</f>
        <v>database--object-database--ordercontainer--count()</v>
      </c>
      <c r="P54" t="s">
        <v>174</v>
      </c>
    </row>
    <row r="55" spans="2:16" x14ac:dyDescent="0.3">
      <c r="B55">
        <v>54</v>
      </c>
      <c r="C55" s="31" t="s">
        <v>277</v>
      </c>
      <c r="D55" t="s">
        <v>436</v>
      </c>
      <c r="E55" t="s">
        <v>402</v>
      </c>
      <c r="F55" s="33" t="str">
        <f t="shared" si="16"/>
        <v>database</v>
      </c>
      <c r="G55" t="s">
        <v>419</v>
      </c>
      <c r="H55" s="33" t="str">
        <f t="shared" si="17"/>
        <v>relational-database</v>
      </c>
      <c r="I55" t="s">
        <v>437</v>
      </c>
      <c r="J55" s="33" t="str">
        <f t="shared" si="18"/>
        <v>event-table</v>
      </c>
      <c r="K55" s="33" t="str">
        <f>Table4[[#This Row],[Intermediate Qualified System Name]]&amp;"--"&amp;Table4[[#This Row],[Collection Intermediate Qualified Name]]&amp;"--"&amp;Table4[[#This Row],[Dataset Intermediate Qualified Name]]</f>
        <v>database--relational-database--event-table</v>
      </c>
      <c r="L55" t="s">
        <v>420</v>
      </c>
      <c r="M55" s="33" t="str">
        <f t="shared" si="19"/>
        <v>eventtype</v>
      </c>
      <c r="N55" s="33" t="str">
        <f>Table4[[#This Row],[Intermediate Qualified System Name]]&amp;"--"&amp;Table4[[#This Row],[Collection Intermediate Qualified Name]]&amp;"--"&amp;Table4[[#This Row],[Dataset Intermediate Qualified Name]]&amp;"--"&amp;Table4[[#This Row],[Field Intermediate Qualified Name]]</f>
        <v>database--relational-database--event-table--eventtype</v>
      </c>
      <c r="P55" t="s">
        <v>168</v>
      </c>
    </row>
    <row r="56" spans="2:16" x14ac:dyDescent="0.3">
      <c r="B56">
        <v>55</v>
      </c>
      <c r="C56" s="31" t="s">
        <v>279</v>
      </c>
      <c r="D56" t="s">
        <v>438</v>
      </c>
      <c r="E56" t="s">
        <v>402</v>
      </c>
      <c r="F56" s="33" t="str">
        <f t="shared" si="16"/>
        <v>database</v>
      </c>
      <c r="G56" t="s">
        <v>419</v>
      </c>
      <c r="H56" s="33" t="str">
        <f t="shared" si="17"/>
        <v>relational-database</v>
      </c>
      <c r="I56" t="s">
        <v>431</v>
      </c>
      <c r="J56" s="33" t="str">
        <f t="shared" si="18"/>
        <v>machineevent-table</v>
      </c>
      <c r="K56" s="33" t="str">
        <f>Table4[[#This Row],[Intermediate Qualified System Name]]&amp;"--"&amp;Table4[[#This Row],[Collection Intermediate Qualified Name]]&amp;"--"&amp;Table4[[#This Row],[Dataset Intermediate Qualified Name]]</f>
        <v>database--relational-database--machineevent-table</v>
      </c>
      <c r="L56" t="s">
        <v>439</v>
      </c>
      <c r="M56" s="33" t="str">
        <f t="shared" si="19"/>
        <v>eventstatus</v>
      </c>
      <c r="N56" s="33" t="str">
        <f>Table4[[#This Row],[Intermediate Qualified System Name]]&amp;"--"&amp;Table4[[#This Row],[Collection Intermediate Qualified Name]]&amp;"--"&amp;Table4[[#This Row],[Dataset Intermediate Qualified Name]]&amp;"--"&amp;Table4[[#This Row],[Field Intermediate Qualified Name]]</f>
        <v>database--relational-database--machineevent-table--eventstatus</v>
      </c>
      <c r="P56" t="s">
        <v>168</v>
      </c>
    </row>
    <row r="57" spans="2:16" x14ac:dyDescent="0.3">
      <c r="B57">
        <v>56</v>
      </c>
      <c r="C57" s="31" t="s">
        <v>281</v>
      </c>
      <c r="D57" s="31" t="s">
        <v>440</v>
      </c>
      <c r="E57" t="s">
        <v>402</v>
      </c>
      <c r="F57" s="33" t="str">
        <f t="shared" si="16"/>
        <v>database</v>
      </c>
      <c r="G57" t="s">
        <v>419</v>
      </c>
      <c r="H57" s="33" t="str">
        <f t="shared" si="17"/>
        <v>relational-database</v>
      </c>
      <c r="I57" t="s">
        <v>407</v>
      </c>
      <c r="J57" s="33" t="str">
        <f t="shared" si="18"/>
        <v>machine-table</v>
      </c>
      <c r="K57" s="33" t="str">
        <f>Table4[[#This Row],[Intermediate Qualified System Name]]&amp;"--"&amp;Table4[[#This Row],[Collection Intermediate Qualified Name]]&amp;"--"&amp;Table4[[#This Row],[Dataset Intermediate Qualified Name]]</f>
        <v>database--relational-database--machine-table</v>
      </c>
      <c r="L57" s="31" t="s">
        <v>441</v>
      </c>
      <c r="M57" s="33" t="str">
        <f t="shared" si="19"/>
        <v>customerid</v>
      </c>
      <c r="N57" s="33" t="str">
        <f>Table4[[#This Row],[Intermediate Qualified System Name]]&amp;"--"&amp;Table4[[#This Row],[Collection Intermediate Qualified Name]]&amp;"--"&amp;Table4[[#This Row],[Dataset Intermediate Qualified Name]]&amp;"--"&amp;Table4[[#This Row],[Field Intermediate Qualified Name]]</f>
        <v>database--relational-database--machine-table--customerid</v>
      </c>
      <c r="P57" s="31" t="s">
        <v>168</v>
      </c>
    </row>
    <row r="58" spans="2:16" x14ac:dyDescent="0.3">
      <c r="B58">
        <v>57</v>
      </c>
      <c r="C58" s="31" t="s">
        <v>283</v>
      </c>
      <c r="D58" s="31" t="s">
        <v>442</v>
      </c>
      <c r="E58" t="s">
        <v>402</v>
      </c>
      <c r="F58" s="33" t="str">
        <f t="shared" si="16"/>
        <v>database</v>
      </c>
      <c r="G58" t="s">
        <v>419</v>
      </c>
      <c r="H58" s="33" t="str">
        <f t="shared" si="17"/>
        <v>relational-database</v>
      </c>
      <c r="I58" t="s">
        <v>407</v>
      </c>
      <c r="J58" s="33" t="str">
        <f t="shared" si="18"/>
        <v>machine-table</v>
      </c>
      <c r="K58" s="33" t="str">
        <f>Table4[[#This Row],[Intermediate Qualified System Name]]&amp;"--"&amp;Table4[[#This Row],[Collection Intermediate Qualified Name]]&amp;"--"&amp;Table4[[#This Row],[Dataset Intermediate Qualified Name]]</f>
        <v>database--relational-database--machine-table</v>
      </c>
      <c r="L58" s="31" t="s">
        <v>443</v>
      </c>
      <c r="M58" s="33" t="str">
        <f t="shared" si="19"/>
        <v>mobiledatausage</v>
      </c>
      <c r="N58" s="33" t="str">
        <f>Table4[[#This Row],[Intermediate Qualified System Name]]&amp;"--"&amp;Table4[[#This Row],[Collection Intermediate Qualified Name]]&amp;"--"&amp;Table4[[#This Row],[Dataset Intermediate Qualified Name]]&amp;"--"&amp;Table4[[#This Row],[Field Intermediate Qualified Name]]</f>
        <v>database--relational-database--machine-table--mobiledatausage</v>
      </c>
      <c r="P58" s="31" t="s">
        <v>168</v>
      </c>
    </row>
    <row r="59" spans="2:16" x14ac:dyDescent="0.3">
      <c r="B59">
        <v>58</v>
      </c>
      <c r="C59" s="31" t="s">
        <v>285</v>
      </c>
      <c r="D59" s="31" t="s">
        <v>444</v>
      </c>
      <c r="E59" t="s">
        <v>402</v>
      </c>
      <c r="F59" s="33" t="str">
        <f t="shared" si="16"/>
        <v>database</v>
      </c>
      <c r="G59" t="s">
        <v>419</v>
      </c>
      <c r="H59" s="33" t="str">
        <f t="shared" si="17"/>
        <v>relational-database</v>
      </c>
      <c r="I59" t="s">
        <v>407</v>
      </c>
      <c r="J59" s="33" t="str">
        <f t="shared" si="18"/>
        <v>machine-table</v>
      </c>
      <c r="K59" s="33" t="str">
        <f>Table4[[#This Row],[Intermediate Qualified System Name]]&amp;"--"&amp;Table4[[#This Row],[Collection Intermediate Qualified Name]]&amp;"--"&amp;Table4[[#This Row],[Dataset Intermediate Qualified Name]]</f>
        <v>database--relational-database--machine-table</v>
      </c>
      <c r="L59" s="31" t="s">
        <v>445</v>
      </c>
      <c r="M59" s="33" t="str">
        <f t="shared" si="19"/>
        <v>pairingdate</v>
      </c>
      <c r="N59" s="33" t="str">
        <f>Table4[[#This Row],[Intermediate Qualified System Name]]&amp;"--"&amp;Table4[[#This Row],[Collection Intermediate Qualified Name]]&amp;"--"&amp;Table4[[#This Row],[Dataset Intermediate Qualified Name]]&amp;"--"&amp;Table4[[#This Row],[Field Intermediate Qualified Name]]</f>
        <v>database--relational-database--machine-table--pairingdate</v>
      </c>
      <c r="P59" s="31" t="s">
        <v>4</v>
      </c>
    </row>
    <row r="60" spans="2:16" x14ac:dyDescent="0.3">
      <c r="B60">
        <v>59</v>
      </c>
      <c r="C60" s="31" t="s">
        <v>287</v>
      </c>
      <c r="D60" t="s">
        <v>446</v>
      </c>
      <c r="E60" t="s">
        <v>447</v>
      </c>
      <c r="F60" s="33" t="str">
        <f t="shared" si="16"/>
        <v>timeseries-database</v>
      </c>
      <c r="G60" t="s">
        <v>448</v>
      </c>
      <c r="H60" s="33" t="str">
        <f t="shared" si="17"/>
        <v>machine_data</v>
      </c>
      <c r="I60" t="s">
        <v>449</v>
      </c>
      <c r="J60" s="33" t="str">
        <f t="shared" si="18"/>
        <v>coffee_machine_events</v>
      </c>
      <c r="K60" s="33" t="str">
        <f>Table4[[#This Row],[Intermediate Qualified System Name]]&amp;"--"&amp;Table4[[#This Row],[Collection Intermediate Qualified Name]]&amp;"--"&amp;Table4[[#This Row],[Dataset Intermediate Qualified Name]]</f>
        <v>timeseries-database--machine_data--coffee_machine_events</v>
      </c>
      <c r="L60" t="s">
        <v>450</v>
      </c>
      <c r="M60" s="33" t="str">
        <f t="shared" si="19"/>
        <v>machine_id​</v>
      </c>
      <c r="N60" s="33" t="str">
        <f>Table4[[#This Row],[Intermediate Qualified System Name]]&amp;"--"&amp;Table4[[#This Row],[Collection Intermediate Qualified Name]]&amp;"--"&amp;Table4[[#This Row],[Dataset Intermediate Qualified Name]]&amp;"--"&amp;Table4[[#This Row],[Field Intermediate Qualified Name]]</f>
        <v>timeseries-database--machine_data--coffee_machine_events--machine_id​</v>
      </c>
      <c r="P60" t="s">
        <v>168</v>
      </c>
    </row>
    <row r="61" spans="2:16" x14ac:dyDescent="0.3">
      <c r="B61">
        <v>60</v>
      </c>
      <c r="C61" s="31" t="s">
        <v>289</v>
      </c>
      <c r="D61" t="s">
        <v>451</v>
      </c>
      <c r="E61" t="s">
        <v>447</v>
      </c>
      <c r="F61" s="33" t="str">
        <f t="shared" si="16"/>
        <v>timeseries-database</v>
      </c>
      <c r="G61" t="s">
        <v>448</v>
      </c>
      <c r="H61" s="33" t="str">
        <f t="shared" si="17"/>
        <v>machine_data</v>
      </c>
      <c r="I61" t="s">
        <v>449</v>
      </c>
      <c r="J61" s="33" t="str">
        <f t="shared" si="18"/>
        <v>coffee_machine_events</v>
      </c>
      <c r="K61" s="33" t="str">
        <f>Table4[[#This Row],[Intermediate Qualified System Name]]&amp;"--"&amp;Table4[[#This Row],[Collection Intermediate Qualified Name]]&amp;"--"&amp;Table4[[#This Row],[Dataset Intermediate Qualified Name]]</f>
        <v>timeseries-database--machine_data--coffee_machine_events</v>
      </c>
      <c r="L61" t="s">
        <v>452</v>
      </c>
      <c r="M61" s="33" t="str">
        <f t="shared" si="19"/>
        <v>distributor_id​</v>
      </c>
      <c r="N61" s="33" t="str">
        <f>Table4[[#This Row],[Intermediate Qualified System Name]]&amp;"--"&amp;Table4[[#This Row],[Collection Intermediate Qualified Name]]&amp;"--"&amp;Table4[[#This Row],[Dataset Intermediate Qualified Name]]&amp;"--"&amp;Table4[[#This Row],[Field Intermediate Qualified Name]]</f>
        <v>timeseries-database--machine_data--coffee_machine_events--distributor_id​</v>
      </c>
      <c r="P61" t="s">
        <v>168</v>
      </c>
    </row>
    <row r="62" spans="2:16" x14ac:dyDescent="0.3">
      <c r="B62">
        <v>61</v>
      </c>
      <c r="C62" s="31" t="s">
        <v>166</v>
      </c>
      <c r="D62" t="s">
        <v>325</v>
      </c>
      <c r="E62" t="s">
        <v>447</v>
      </c>
      <c r="F62" s="33" t="str">
        <f t="shared" si="16"/>
        <v>timeseries-database</v>
      </c>
      <c r="G62" t="s">
        <v>448</v>
      </c>
      <c r="H62" s="33" t="str">
        <f t="shared" si="17"/>
        <v>machine_data</v>
      </c>
      <c r="I62" t="s">
        <v>449</v>
      </c>
      <c r="J62" s="33" t="str">
        <f t="shared" si="18"/>
        <v>coffee_machine_events</v>
      </c>
      <c r="K62" s="33" t="str">
        <f>Table4[[#This Row],[Intermediate Qualified System Name]]&amp;"--"&amp;Table4[[#This Row],[Collection Intermediate Qualified Name]]&amp;"--"&amp;Table4[[#This Row],[Dataset Intermediate Qualified Name]]</f>
        <v>timeseries-database--machine_data--coffee_machine_events</v>
      </c>
      <c r="L62" t="s">
        <v>453</v>
      </c>
      <c r="M62" s="33" t="str">
        <f t="shared" si="19"/>
        <v>order_beverage​</v>
      </c>
      <c r="N62"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timeseries-database--machine_data--coffee_machine_events--order_beverage​</v>
      </c>
      <c r="P62" t="s">
        <v>168</v>
      </c>
    </row>
    <row r="63" spans="2:16" x14ac:dyDescent="0.3">
      <c r="B63">
        <v>62</v>
      </c>
      <c r="C63" s="31" t="s">
        <v>169</v>
      </c>
      <c r="D63" t="s">
        <v>330</v>
      </c>
      <c r="E63" t="s">
        <v>447</v>
      </c>
      <c r="F63" s="33" t="str">
        <f t="shared" si="16"/>
        <v>timeseries-database</v>
      </c>
      <c r="G63" t="s">
        <v>448</v>
      </c>
      <c r="H63" s="33" t="str">
        <f t="shared" si="17"/>
        <v>machine_data</v>
      </c>
      <c r="I63" t="s">
        <v>449</v>
      </c>
      <c r="J63" s="33" t="str">
        <f t="shared" si="18"/>
        <v>coffee_machine_events</v>
      </c>
      <c r="K63" s="33" t="str">
        <f>Table4[[#This Row],[Intermediate Qualified System Name]]&amp;"--"&amp;Table4[[#This Row],[Collection Intermediate Qualified Name]]&amp;"--"&amp;Table4[[#This Row],[Dataset Intermediate Qualified Name]]</f>
        <v>timeseries-database--machine_data--coffee_machine_events</v>
      </c>
      <c r="L63" t="s">
        <v>454</v>
      </c>
      <c r="M63" s="33" t="str">
        <f t="shared" si="19"/>
        <v>order_volume​</v>
      </c>
      <c r="N63"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timeseries-database--machine_data--coffee_machine_events--order_volume​</v>
      </c>
      <c r="P63" t="s">
        <v>168</v>
      </c>
    </row>
    <row r="64" spans="2:16" x14ac:dyDescent="0.3">
      <c r="B64">
        <v>63</v>
      </c>
      <c r="C64" s="31" t="s">
        <v>172</v>
      </c>
      <c r="D64" t="s">
        <v>331</v>
      </c>
      <c r="E64" t="s">
        <v>447</v>
      </c>
      <c r="F64" s="33" t="str">
        <f t="shared" si="16"/>
        <v>timeseries-database</v>
      </c>
      <c r="G64" t="s">
        <v>448</v>
      </c>
      <c r="H64" s="33" t="str">
        <f t="shared" si="17"/>
        <v>machine_data</v>
      </c>
      <c r="I64" t="s">
        <v>449</v>
      </c>
      <c r="J64" s="33" t="str">
        <f t="shared" si="18"/>
        <v>coffee_machine_events</v>
      </c>
      <c r="K64" s="33" t="str">
        <f>Table4[[#This Row],[Intermediate Qualified System Name]]&amp;"--"&amp;Table4[[#This Row],[Collection Intermediate Qualified Name]]&amp;"--"&amp;Table4[[#This Row],[Dataset Intermediate Qualified Name]]</f>
        <v>timeseries-database--machine_data--coffee_machine_events</v>
      </c>
      <c r="L64" t="s">
        <v>455</v>
      </c>
      <c r="M64" s="33" t="str">
        <f t="shared" si="19"/>
        <v>order_ml​</v>
      </c>
      <c r="N64"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timeseries-database--machine_data--coffee_machine_events--order_ml​</v>
      </c>
      <c r="P64" t="s">
        <v>174</v>
      </c>
    </row>
    <row r="65" spans="2:16" x14ac:dyDescent="0.3">
      <c r="B65">
        <v>64</v>
      </c>
      <c r="C65" s="31" t="s">
        <v>175</v>
      </c>
      <c r="D65" t="s">
        <v>332</v>
      </c>
      <c r="E65" t="s">
        <v>447</v>
      </c>
      <c r="F65" s="33" t="str">
        <f t="shared" si="16"/>
        <v>timeseries-database</v>
      </c>
      <c r="G65" t="s">
        <v>448</v>
      </c>
      <c r="H65" s="33" t="str">
        <f t="shared" si="17"/>
        <v>machine_data</v>
      </c>
      <c r="I65" t="s">
        <v>449</v>
      </c>
      <c r="J65" s="33" t="str">
        <f t="shared" si="18"/>
        <v>coffee_machine_events</v>
      </c>
      <c r="K65" s="33" t="str">
        <f>Table4[[#This Row],[Intermediate Qualified System Name]]&amp;"--"&amp;Table4[[#This Row],[Collection Intermediate Qualified Name]]&amp;"--"&amp;Table4[[#This Row],[Dataset Intermediate Qualified Name]]</f>
        <v>timeseries-database--machine_data--coffee_machine_events</v>
      </c>
      <c r="L65" t="s">
        <v>456</v>
      </c>
      <c r="M65" s="33" t="str">
        <f t="shared" si="19"/>
        <v>order_strength​</v>
      </c>
      <c r="N65"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timeseries-database--machine_data--coffee_machine_events--order_strength​</v>
      </c>
      <c r="P65" t="s">
        <v>174</v>
      </c>
    </row>
    <row r="66" spans="2:16" x14ac:dyDescent="0.3">
      <c r="B66">
        <v>65</v>
      </c>
      <c r="C66" s="31" t="s">
        <v>177</v>
      </c>
      <c r="D66" t="s">
        <v>333</v>
      </c>
      <c r="E66" t="s">
        <v>447</v>
      </c>
      <c r="F66" s="33" t="str">
        <f t="shared" si="16"/>
        <v>timeseries-database</v>
      </c>
      <c r="G66" t="s">
        <v>448</v>
      </c>
      <c r="H66" s="33" t="str">
        <f t="shared" si="17"/>
        <v>machine_data</v>
      </c>
      <c r="I66" t="s">
        <v>449</v>
      </c>
      <c r="J66" s="33" t="str">
        <f t="shared" si="18"/>
        <v>coffee_machine_events</v>
      </c>
      <c r="K66" s="33" t="str">
        <f>Table4[[#This Row],[Intermediate Qualified System Name]]&amp;"--"&amp;Table4[[#This Row],[Collection Intermediate Qualified Name]]&amp;"--"&amp;Table4[[#This Row],[Dataset Intermediate Qualified Name]]</f>
        <v>timeseries-database--machine_data--coffee_machine_events</v>
      </c>
      <c r="L66" t="s">
        <v>457</v>
      </c>
      <c r="M66" s="33" t="str">
        <f t="shared" si="19"/>
        <v>order_etc​</v>
      </c>
      <c r="N66"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timeseries-database--machine_data--coffee_machine_events--order_etc​</v>
      </c>
      <c r="P66" t="s">
        <v>174</v>
      </c>
    </row>
    <row r="67" spans="2:16" x14ac:dyDescent="0.3">
      <c r="B67">
        <v>66</v>
      </c>
      <c r="C67" s="31" t="s">
        <v>179</v>
      </c>
      <c r="D67" t="s">
        <v>335</v>
      </c>
      <c r="E67" t="s">
        <v>447</v>
      </c>
      <c r="F67" s="33" t="str">
        <f t="shared" si="16"/>
        <v>timeseries-database</v>
      </c>
      <c r="G67" t="s">
        <v>448</v>
      </c>
      <c r="H67" s="33" t="str">
        <f t="shared" si="17"/>
        <v>machine_data</v>
      </c>
      <c r="I67" t="s">
        <v>449</v>
      </c>
      <c r="J67" s="33" t="str">
        <f t="shared" si="18"/>
        <v>coffee_machine_events</v>
      </c>
      <c r="K67" s="33" t="str">
        <f>Table4[[#This Row],[Intermediate Qualified System Name]]&amp;"--"&amp;Table4[[#This Row],[Collection Intermediate Qualified Name]]&amp;"--"&amp;Table4[[#This Row],[Dataset Intermediate Qualified Name]]</f>
        <v>timeseries-database--machine_data--coffee_machine_events</v>
      </c>
      <c r="L67" t="s">
        <v>458</v>
      </c>
      <c r="M67" s="33" t="str">
        <f t="shared" si="19"/>
        <v>order_sugar</v>
      </c>
      <c r="N67"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timeseries-database--machine_data--coffee_machine_events--order_sugar</v>
      </c>
      <c r="P67" t="s">
        <v>174</v>
      </c>
    </row>
    <row r="68" spans="2:16" x14ac:dyDescent="0.3">
      <c r="B68">
        <v>67</v>
      </c>
      <c r="C68" s="31" t="s">
        <v>181</v>
      </c>
      <c r="D68" t="s">
        <v>336</v>
      </c>
      <c r="E68" t="s">
        <v>447</v>
      </c>
      <c r="F68" s="33" t="str">
        <f t="shared" si="16"/>
        <v>timeseries-database</v>
      </c>
      <c r="G68" t="s">
        <v>448</v>
      </c>
      <c r="H68" s="33" t="str">
        <f t="shared" si="17"/>
        <v>machine_data</v>
      </c>
      <c r="I68" t="s">
        <v>449</v>
      </c>
      <c r="J68" s="33" t="str">
        <f t="shared" si="18"/>
        <v>coffee_machine_events</v>
      </c>
      <c r="K68" s="33" t="str">
        <f>Table4[[#This Row],[Intermediate Qualified System Name]]&amp;"--"&amp;Table4[[#This Row],[Collection Intermediate Qualified Name]]&amp;"--"&amp;Table4[[#This Row],[Dataset Intermediate Qualified Name]]</f>
        <v>timeseries-database--machine_data--coffee_machine_events</v>
      </c>
      <c r="L68" t="s">
        <v>459</v>
      </c>
      <c r="M68" s="33" t="str">
        <f t="shared" si="19"/>
        <v>order_topping​</v>
      </c>
      <c r="N68"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timeseries-database--machine_data--coffee_machine_events--order_topping​</v>
      </c>
      <c r="P68" t="s">
        <v>174</v>
      </c>
    </row>
    <row r="69" spans="2:16" x14ac:dyDescent="0.3">
      <c r="B69">
        <v>68</v>
      </c>
      <c r="C69" s="31" t="s">
        <v>199</v>
      </c>
      <c r="D69" t="s">
        <v>352</v>
      </c>
      <c r="E69" t="s">
        <v>447</v>
      </c>
      <c r="F69" s="33" t="str">
        <f t="shared" si="16"/>
        <v>timeseries-database</v>
      </c>
      <c r="G69" t="s">
        <v>448</v>
      </c>
      <c r="H69" s="33" t="str">
        <f t="shared" si="17"/>
        <v>machine_data</v>
      </c>
      <c r="I69" t="s">
        <v>449</v>
      </c>
      <c r="J69" s="33" t="str">
        <f t="shared" si="18"/>
        <v>coffee_machine_events</v>
      </c>
      <c r="K69" s="33" t="str">
        <f>Table4[[#This Row],[Intermediate Qualified System Name]]&amp;"--"&amp;Table4[[#This Row],[Collection Intermediate Qualified Name]]&amp;"--"&amp;Table4[[#This Row],[Dataset Intermediate Qualified Name]]</f>
        <v>timeseries-database--machine_data--coffee_machine_events</v>
      </c>
      <c r="L69" t="s">
        <v>460</v>
      </c>
      <c r="M69" s="33" t="str">
        <f t="shared" si="19"/>
        <v>​event_id​</v>
      </c>
      <c r="N69" s="33" t="str">
        <f>Table4[[#This Row],[Intermediate Qualified System Name]]&amp;"--"&amp;Table4[[#This Row],[Collection Intermediate Qualified Name]]&amp;"--"&amp;Table4[[#This Row],[Dataset Intermediate Qualified Name]]&amp;"--"&amp;Table4[[#This Row],[Field Intermediate Qualified Name]]</f>
        <v>timeseries-database--machine_data--coffee_machine_events--​event_id​</v>
      </c>
      <c r="P69" t="s">
        <v>168</v>
      </c>
    </row>
    <row r="70" spans="2:16" x14ac:dyDescent="0.3">
      <c r="B70">
        <v>69</v>
      </c>
      <c r="C70" s="31" t="s">
        <v>291</v>
      </c>
      <c r="D70" t="s">
        <v>461</v>
      </c>
      <c r="E70" t="s">
        <v>447</v>
      </c>
      <c r="F70" s="33" t="str">
        <f t="shared" si="16"/>
        <v>timeseries-database</v>
      </c>
      <c r="G70" t="s">
        <v>448</v>
      </c>
      <c r="H70" s="33" t="str">
        <f t="shared" si="17"/>
        <v>machine_data</v>
      </c>
      <c r="I70" t="s">
        <v>449</v>
      </c>
      <c r="J70" s="33" t="str">
        <f t="shared" si="18"/>
        <v>coffee_machine_events</v>
      </c>
      <c r="K70" s="33" t="str">
        <f>Table4[[#This Row],[Intermediate Qualified System Name]]&amp;"--"&amp;Table4[[#This Row],[Collection Intermediate Qualified Name]]&amp;"--"&amp;Table4[[#This Row],[Dataset Intermediate Qualified Name]]</f>
        <v>timeseries-database--machine_data--coffee_machine_events</v>
      </c>
      <c r="L70" t="s">
        <v>462</v>
      </c>
      <c r="M70" s="33" t="str">
        <f t="shared" si="19"/>
        <v>default_timestamp</v>
      </c>
      <c r="N70" s="33" t="str">
        <f>Table4[[#This Row],[Intermediate Qualified System Name]]&amp;"--"&amp;Table4[[#This Row],[Collection Intermediate Qualified Name]]&amp;"--"&amp;Table4[[#This Row],[Dataset Intermediate Qualified Name]]&amp;"--"&amp;Table4[[#This Row],[Field Intermediate Qualified Name]]</f>
        <v>timeseries-database--machine_data--coffee_machine_events--default_timestamp</v>
      </c>
      <c r="P70" t="s">
        <v>4</v>
      </c>
    </row>
    <row r="71" spans="2:16" x14ac:dyDescent="0.3">
      <c r="B71">
        <v>70</v>
      </c>
      <c r="C71" s="31" t="s">
        <v>293</v>
      </c>
      <c r="D71" t="s">
        <v>463</v>
      </c>
      <c r="E71" t="s">
        <v>447</v>
      </c>
      <c r="F71" s="33" t="str">
        <f t="shared" si="16"/>
        <v>timeseries-database</v>
      </c>
      <c r="G71" t="s">
        <v>448</v>
      </c>
      <c r="H71" s="33" t="str">
        <f t="shared" si="17"/>
        <v>machine_data</v>
      </c>
      <c r="I71" t="s">
        <v>449</v>
      </c>
      <c r="J71" s="33" t="str">
        <f t="shared" si="18"/>
        <v>coffee_machine_events</v>
      </c>
      <c r="K71" s="33" t="str">
        <f>Table4[[#This Row],[Intermediate Qualified System Name]]&amp;"--"&amp;Table4[[#This Row],[Collection Intermediate Qualified Name]]&amp;"--"&amp;Table4[[#This Row],[Dataset Intermediate Qualified Name]]</f>
        <v>timeseries-database--machine_data--coffee_machine_events</v>
      </c>
      <c r="L71" t="s">
        <v>464</v>
      </c>
      <c r="M71" s="33" t="str">
        <f t="shared" si="19"/>
        <v>occurred_at​</v>
      </c>
      <c r="N71"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timeseries-database--machine_data--coffee_machine_events--occurred_at​</v>
      </c>
      <c r="P71" t="s">
        <v>4</v>
      </c>
    </row>
    <row r="72" spans="2:16" x14ac:dyDescent="0.3">
      <c r="B72">
        <v>71</v>
      </c>
      <c r="C72" s="31" t="s">
        <v>287</v>
      </c>
      <c r="D72" s="31" t="s">
        <v>446</v>
      </c>
      <c r="E72" t="s">
        <v>402</v>
      </c>
      <c r="F72" s="33" t="str">
        <f t="shared" si="16"/>
        <v>database</v>
      </c>
      <c r="G72" t="s">
        <v>419</v>
      </c>
      <c r="H72" s="33" t="str">
        <f t="shared" si="17"/>
        <v>relational-database</v>
      </c>
      <c r="I72" t="s">
        <v>465</v>
      </c>
      <c r="J72" s="33" t="str">
        <f t="shared" si="18"/>
        <v>consumption-table</v>
      </c>
      <c r="K72" s="33" t="str">
        <f>Table4[[#This Row],[Intermediate Qualified System Name]]&amp;"--"&amp;Table4[[#This Row],[Collection Intermediate Qualified Name]]&amp;"--"&amp;Table4[[#This Row],[Dataset Intermediate Qualified Name]]</f>
        <v>database--relational-database--consumption-table</v>
      </c>
      <c r="L72" s="31" t="s">
        <v>450</v>
      </c>
      <c r="M72" s="33" t="str">
        <f t="shared" si="19"/>
        <v>machine_id​</v>
      </c>
      <c r="N72" s="33" t="str">
        <f>Table4[[#This Row],[Intermediate Qualified System Name]]&amp;"--"&amp;Table4[[#This Row],[Collection Intermediate Qualified Name]]&amp;"--"&amp;Table4[[#This Row],[Dataset Intermediate Qualified Name]]&amp;"--"&amp;Table4[[#This Row],[Field Intermediate Qualified Name]]</f>
        <v>database--relational-database--consumption-table--machine_id​</v>
      </c>
      <c r="P72" s="31" t="s">
        <v>168</v>
      </c>
    </row>
    <row r="73" spans="2:16" x14ac:dyDescent="0.3">
      <c r="B73">
        <v>72</v>
      </c>
      <c r="C73" s="31" t="s">
        <v>289</v>
      </c>
      <c r="D73" s="31" t="s">
        <v>451</v>
      </c>
      <c r="E73" t="s">
        <v>402</v>
      </c>
      <c r="F73" s="33" t="str">
        <f t="shared" si="16"/>
        <v>database</v>
      </c>
      <c r="G73" t="s">
        <v>419</v>
      </c>
      <c r="H73" s="33" t="str">
        <f t="shared" si="17"/>
        <v>relational-database</v>
      </c>
      <c r="I73" t="s">
        <v>465</v>
      </c>
      <c r="J73" s="33" t="str">
        <f t="shared" si="18"/>
        <v>consumption-table</v>
      </c>
      <c r="K73" s="33" t="str">
        <f>Table4[[#This Row],[Intermediate Qualified System Name]]&amp;"--"&amp;Table4[[#This Row],[Collection Intermediate Qualified Name]]&amp;"--"&amp;Table4[[#This Row],[Dataset Intermediate Qualified Name]]</f>
        <v>database--relational-database--consumption-table</v>
      </c>
      <c r="L73" s="31" t="s">
        <v>452</v>
      </c>
      <c r="M73" s="33" t="str">
        <f t="shared" si="19"/>
        <v>distributor_id​</v>
      </c>
      <c r="N73" s="33" t="str">
        <f>Table4[[#This Row],[Intermediate Qualified System Name]]&amp;"--"&amp;Table4[[#This Row],[Collection Intermediate Qualified Name]]&amp;"--"&amp;Table4[[#This Row],[Dataset Intermediate Qualified Name]]&amp;"--"&amp;Table4[[#This Row],[Field Intermediate Qualified Name]]</f>
        <v>database--relational-database--consumption-table--distributor_id​</v>
      </c>
      <c r="P73" s="31" t="s">
        <v>168</v>
      </c>
    </row>
    <row r="74" spans="2:16" x14ac:dyDescent="0.3">
      <c r="B74">
        <v>73</v>
      </c>
      <c r="C74" s="31" t="s">
        <v>166</v>
      </c>
      <c r="D74" s="31" t="s">
        <v>325</v>
      </c>
      <c r="E74" t="s">
        <v>402</v>
      </c>
      <c r="F74" s="33" t="str">
        <f t="shared" si="16"/>
        <v>database</v>
      </c>
      <c r="G74" t="s">
        <v>419</v>
      </c>
      <c r="H74" s="33" t="str">
        <f t="shared" si="17"/>
        <v>relational-database</v>
      </c>
      <c r="I74" t="s">
        <v>465</v>
      </c>
      <c r="J74" s="33" t="str">
        <f t="shared" si="18"/>
        <v>consumption-table</v>
      </c>
      <c r="K74" s="33" t="str">
        <f>Table4[[#This Row],[Intermediate Qualified System Name]]&amp;"--"&amp;Table4[[#This Row],[Collection Intermediate Qualified Name]]&amp;"--"&amp;Table4[[#This Row],[Dataset Intermediate Qualified Name]]</f>
        <v>database--relational-database--consumption-table</v>
      </c>
      <c r="L74" s="31" t="s">
        <v>453</v>
      </c>
      <c r="M74" s="33" t="str">
        <f t="shared" si="19"/>
        <v>order_beverage​</v>
      </c>
      <c r="N74" s="33" t="str">
        <f>Table4[[#This Row],[Intermediate Qualified System Name]]&amp;"--"&amp;Table4[[#This Row],[Collection Intermediate Qualified Name]]&amp;"--"&amp;Table4[[#This Row],[Dataset Intermediate Qualified Name]]&amp;"--"&amp;Table4[[#This Row],[Field Intermediate Qualified Name]]</f>
        <v>database--relational-database--consumption-table--order_beverage​</v>
      </c>
      <c r="P74" s="31" t="s">
        <v>168</v>
      </c>
    </row>
    <row r="75" spans="2:16" x14ac:dyDescent="0.3">
      <c r="B75">
        <v>74</v>
      </c>
      <c r="C75" s="31" t="s">
        <v>172</v>
      </c>
      <c r="D75" t="s">
        <v>331</v>
      </c>
      <c r="E75" s="31" t="s">
        <v>402</v>
      </c>
      <c r="F75" s="33" t="str">
        <f t="shared" si="16"/>
        <v>database</v>
      </c>
      <c r="G75" t="s">
        <v>419</v>
      </c>
      <c r="H75" s="33" t="str">
        <f t="shared" si="17"/>
        <v>relational-database</v>
      </c>
      <c r="I75" s="31" t="s">
        <v>465</v>
      </c>
      <c r="J75" s="33" t="str">
        <f t="shared" si="18"/>
        <v>consumption-table</v>
      </c>
      <c r="K75" s="33" t="str">
        <f>Table4[[#This Row],[Intermediate Qualified System Name]]&amp;"--"&amp;Table4[[#This Row],[Collection Intermediate Qualified Name]]&amp;"--"&amp;Table4[[#This Row],[Dataset Intermediate Qualified Name]]</f>
        <v>database--relational-database--consumption-table</v>
      </c>
      <c r="L75" t="s">
        <v>455</v>
      </c>
      <c r="M75" s="33" t="str">
        <f t="shared" si="19"/>
        <v>order_ml​</v>
      </c>
      <c r="N75" s="33" t="str">
        <f>Table4[[#This Row],[Intermediate Qualified System Name]]&amp;"--"&amp;Table4[[#This Row],[Collection Intermediate Qualified Name]]&amp;"--"&amp;Table4[[#This Row],[Dataset Intermediate Qualified Name]]&amp;"--"&amp;Table4[[#This Row],[Field Intermediate Qualified Name]]</f>
        <v>database--relational-database--consumption-table--order_ml​</v>
      </c>
      <c r="P75" t="s">
        <v>168</v>
      </c>
    </row>
    <row r="76" spans="2:16" x14ac:dyDescent="0.3">
      <c r="B76">
        <v>75</v>
      </c>
      <c r="C76" s="31" t="s">
        <v>295</v>
      </c>
      <c r="D76" t="s">
        <v>466</v>
      </c>
      <c r="E76" s="31" t="s">
        <v>402</v>
      </c>
      <c r="F76" s="33" t="str">
        <f t="shared" si="16"/>
        <v>database</v>
      </c>
      <c r="G76" t="s">
        <v>419</v>
      </c>
      <c r="H76" s="33" t="str">
        <f t="shared" si="17"/>
        <v>relational-database</v>
      </c>
      <c r="I76" s="31" t="s">
        <v>465</v>
      </c>
      <c r="J76" s="33" t="str">
        <f t="shared" si="18"/>
        <v>consumption-table</v>
      </c>
      <c r="K76" s="33" t="str">
        <f>Table4[[#This Row],[Intermediate Qualified System Name]]&amp;"--"&amp;Table4[[#This Row],[Collection Intermediate Qualified Name]]&amp;"--"&amp;Table4[[#This Row],[Dataset Intermediate Qualified Name]]</f>
        <v>database--relational-database--consumption-table</v>
      </c>
      <c r="L76" t="s">
        <v>467</v>
      </c>
      <c r="M76" s="33" t="str">
        <f t="shared" si="19"/>
        <v>quantity</v>
      </c>
      <c r="N76" s="33" t="str">
        <f>Table4[[#This Row],[Intermediate Qualified System Name]]&amp;"--"&amp;Table4[[#This Row],[Collection Intermediate Qualified Name]]&amp;"--"&amp;Table4[[#This Row],[Dataset Intermediate Qualified Name]]&amp;"--"&amp;Table4[[#This Row],[Field Intermediate Qualified Name]]</f>
        <v>database--relational-database--consumption-table--quantity</v>
      </c>
      <c r="P76" t="s">
        <v>174</v>
      </c>
    </row>
    <row r="77" spans="2:16" x14ac:dyDescent="0.3">
      <c r="B77">
        <v>76</v>
      </c>
      <c r="C77" s="31" t="s">
        <v>297</v>
      </c>
      <c r="D77" t="s">
        <v>468</v>
      </c>
      <c r="E77" s="31" t="s">
        <v>402</v>
      </c>
      <c r="F77" s="33" t="str">
        <f t="shared" si="16"/>
        <v>database</v>
      </c>
      <c r="G77" t="s">
        <v>419</v>
      </c>
      <c r="H77" s="33" t="str">
        <f t="shared" si="17"/>
        <v>relational-database</v>
      </c>
      <c r="I77" s="31" t="s">
        <v>465</v>
      </c>
      <c r="J77" s="33" t="str">
        <f t="shared" si="18"/>
        <v>consumption-table</v>
      </c>
      <c r="K77" s="33" t="str">
        <f>Table4[[#This Row],[Intermediate Qualified System Name]]&amp;"--"&amp;Table4[[#This Row],[Collection Intermediate Qualified Name]]&amp;"--"&amp;Table4[[#This Row],[Dataset Intermediate Qualified Name]]</f>
        <v>database--relational-database--consumption-table</v>
      </c>
      <c r="L77" t="s">
        <v>469</v>
      </c>
      <c r="M77" s="33" t="str">
        <f t="shared" si="19"/>
        <v>timestamp_hour​</v>
      </c>
      <c r="N77" s="33" t="str">
        <f>Table4[[#This Row],[Intermediate Qualified System Name]]&amp;"--"&amp;Table4[[#This Row],[Collection Intermediate Qualified Name]]&amp;"--"&amp;Table4[[#This Row],[Dataset Intermediate Qualified Name]]&amp;"--"&amp;Table4[[#This Row],[Field Intermediate Qualified Name]]</f>
        <v>database--relational-database--consumption-table--timestamp_hour​</v>
      </c>
      <c r="P77" t="s">
        <v>4</v>
      </c>
    </row>
    <row r="78" spans="2:16" x14ac:dyDescent="0.3">
      <c r="B78">
        <v>77</v>
      </c>
      <c r="C78" s="31" t="s">
        <v>299</v>
      </c>
      <c r="D78" t="s">
        <v>470</v>
      </c>
      <c r="E78" s="31" t="s">
        <v>402</v>
      </c>
      <c r="F78" s="33" t="str">
        <f t="shared" si="16"/>
        <v>database</v>
      </c>
      <c r="G78" t="s">
        <v>419</v>
      </c>
      <c r="H78" s="33" t="str">
        <f t="shared" si="17"/>
        <v>relational-database</v>
      </c>
      <c r="I78" s="31" t="s">
        <v>465</v>
      </c>
      <c r="J78" s="33" t="str">
        <f t="shared" si="18"/>
        <v>consumption-table</v>
      </c>
      <c r="K78" s="33" t="str">
        <f>Table4[[#This Row],[Intermediate Qualified System Name]]&amp;"--"&amp;Table4[[#This Row],[Collection Intermediate Qualified Name]]&amp;"--"&amp;Table4[[#This Row],[Dataset Intermediate Qualified Name]]</f>
        <v>database--relational-database--consumption-table</v>
      </c>
      <c r="L78" t="s">
        <v>471</v>
      </c>
      <c r="M78" s="33" t="str">
        <f t="shared" si="19"/>
        <v>aggregated_at​</v>
      </c>
      <c r="N78" s="33" t="str">
        <f>Table4[[#This Row],[Intermediate Qualified System Name]]&amp;"--"&amp;Table4[[#This Row],[Collection Intermediate Qualified Name]]&amp;"--"&amp;Table4[[#This Row],[Dataset Intermediate Qualified Name]]&amp;"--"&amp;Table4[[#This Row],[Field Intermediate Qualified Name]]</f>
        <v>database--relational-database--consumption-table--aggregated_at​</v>
      </c>
      <c r="P78" t="s">
        <v>4</v>
      </c>
    </row>
    <row r="79" spans="2:16" x14ac:dyDescent="0.3">
      <c r="B79">
        <v>78</v>
      </c>
      <c r="C79" s="31" t="s">
        <v>302</v>
      </c>
      <c r="D79" t="s">
        <v>472</v>
      </c>
      <c r="E79" s="31" t="s">
        <v>402</v>
      </c>
      <c r="F79" s="33" t="str">
        <f t="shared" si="16"/>
        <v>database</v>
      </c>
      <c r="G79" t="s">
        <v>419</v>
      </c>
      <c r="H79" s="33" t="str">
        <f t="shared" si="17"/>
        <v>relational-database</v>
      </c>
      <c r="I79" s="31" t="s">
        <v>473</v>
      </c>
      <c r="J79" s="33" t="str">
        <f t="shared" si="18"/>
        <v>recipe-update-notification</v>
      </c>
      <c r="K79" s="33" t="str">
        <f>Table4[[#This Row],[Intermediate Qualified System Name]]&amp;"--"&amp;Table4[[#This Row],[Collection Intermediate Qualified Name]]&amp;"--"&amp;Table4[[#This Row],[Dataset Intermediate Qualified Name]]</f>
        <v>database--relational-database--recipe-update-notification</v>
      </c>
      <c r="L79" t="s">
        <v>474</v>
      </c>
      <c r="M79" s="33" t="str">
        <f t="shared" si="19"/>
        <v>notification_id</v>
      </c>
      <c r="N79" s="33" t="str">
        <f>Table4[[#This Row],[Intermediate Qualified System Name]]&amp;"--"&amp;Table4[[#This Row],[Collection Intermediate Qualified Name]]&amp;"--"&amp;Table4[[#This Row],[Dataset Intermediate Qualified Name]]&amp;"--"&amp;Table4[[#This Row],[Field Intermediate Qualified Name]]</f>
        <v>database--relational-database--recipe-update-notification--notification_id</v>
      </c>
      <c r="P79" t="s">
        <v>168</v>
      </c>
    </row>
    <row r="80" spans="2:16" x14ac:dyDescent="0.3">
      <c r="B80">
        <v>79</v>
      </c>
      <c r="C80" s="31" t="s">
        <v>304</v>
      </c>
      <c r="D80" s="31" t="s">
        <v>475</v>
      </c>
      <c r="E80" s="31" t="s">
        <v>402</v>
      </c>
      <c r="F80" s="33" t="str">
        <f t="shared" si="16"/>
        <v>database</v>
      </c>
      <c r="G80" t="s">
        <v>419</v>
      </c>
      <c r="H80" s="33" t="str">
        <f t="shared" si="17"/>
        <v>relational-database</v>
      </c>
      <c r="I80" s="31" t="s">
        <v>473</v>
      </c>
      <c r="J80" s="33" t="str">
        <f t="shared" si="18"/>
        <v>recipe-update-notification</v>
      </c>
      <c r="K80" s="33" t="str">
        <f>Table4[[#This Row],[Intermediate Qualified System Name]]&amp;"--"&amp;Table4[[#This Row],[Collection Intermediate Qualified Name]]&amp;"--"&amp;Table4[[#This Row],[Dataset Intermediate Qualified Name]]</f>
        <v>database--relational-database--recipe-update-notification</v>
      </c>
      <c r="L80" s="31" t="s">
        <v>476</v>
      </c>
      <c r="M80" s="33" t="str">
        <f t="shared" si="19"/>
        <v>sent_at</v>
      </c>
      <c r="N80" s="33" t="str">
        <f>Table4[[#This Row],[Intermediate Qualified System Name]]&amp;"--"&amp;Table4[[#This Row],[Collection Intermediate Qualified Name]]&amp;"--"&amp;Table4[[#This Row],[Dataset Intermediate Qualified Name]]&amp;"--"&amp;Table4[[#This Row],[Field Intermediate Qualified Name]]</f>
        <v>database--relational-database--recipe-update-notification--sent_at</v>
      </c>
      <c r="P80" s="31" t="s">
        <v>4</v>
      </c>
    </row>
    <row r="81" spans="1:17" x14ac:dyDescent="0.3">
      <c r="B81">
        <v>80</v>
      </c>
      <c r="C81" s="31" t="s">
        <v>289</v>
      </c>
      <c r="D81" t="s">
        <v>451</v>
      </c>
      <c r="E81" s="31" t="s">
        <v>402</v>
      </c>
      <c r="F81" s="33" t="str">
        <f t="shared" si="16"/>
        <v>database</v>
      </c>
      <c r="G81" t="s">
        <v>419</v>
      </c>
      <c r="H81" s="33" t="str">
        <f t="shared" si="17"/>
        <v>relational-database</v>
      </c>
      <c r="I81" s="31" t="s">
        <v>473</v>
      </c>
      <c r="J81" s="33" t="str">
        <f t="shared" si="18"/>
        <v>recipe-update-notification</v>
      </c>
      <c r="K81" s="33" t="str">
        <f>Table4[[#This Row],[Intermediate Qualified System Name]]&amp;"--"&amp;Table4[[#This Row],[Collection Intermediate Qualified Name]]&amp;"--"&amp;Table4[[#This Row],[Dataset Intermediate Qualified Name]]</f>
        <v>database--relational-database--recipe-update-notification</v>
      </c>
      <c r="L81" t="s">
        <v>477</v>
      </c>
      <c r="M81" s="33" t="str">
        <f t="shared" si="19"/>
        <v>distributor_id</v>
      </c>
      <c r="N81" s="33" t="str">
        <f>Table4[[#This Row],[Intermediate Qualified System Name]]&amp;"--"&amp;Table4[[#This Row],[Collection Intermediate Qualified Name]]&amp;"--"&amp;Table4[[#This Row],[Dataset Intermediate Qualified Name]]&amp;"--"&amp;Table4[[#This Row],[Field Intermediate Qualified Name]]</f>
        <v>database--relational-database--recipe-update-notification--distributor_id</v>
      </c>
      <c r="P81" t="s">
        <v>168</v>
      </c>
    </row>
    <row r="82" spans="1:17" x14ac:dyDescent="0.3">
      <c r="B82">
        <v>81</v>
      </c>
      <c r="C82" s="31" t="s">
        <v>287</v>
      </c>
      <c r="D82" t="s">
        <v>446</v>
      </c>
      <c r="E82" s="31" t="s">
        <v>402</v>
      </c>
      <c r="F82" s="33" t="str">
        <f t="shared" si="16"/>
        <v>database</v>
      </c>
      <c r="G82" t="s">
        <v>419</v>
      </c>
      <c r="H82" s="33" t="str">
        <f t="shared" si="17"/>
        <v>relational-database</v>
      </c>
      <c r="I82" s="31" t="s">
        <v>473</v>
      </c>
      <c r="J82" s="33" t="str">
        <f t="shared" si="18"/>
        <v>recipe-update-notification</v>
      </c>
      <c r="K82" s="33" t="str">
        <f>Table4[[#This Row],[Intermediate Qualified System Name]]&amp;"--"&amp;Table4[[#This Row],[Collection Intermediate Qualified Name]]&amp;"--"&amp;Table4[[#This Row],[Dataset Intermediate Qualified Name]]</f>
        <v>database--relational-database--recipe-update-notification</v>
      </c>
      <c r="L82" t="s">
        <v>478</v>
      </c>
      <c r="M82" s="33" t="str">
        <f t="shared" si="19"/>
        <v>machine_id</v>
      </c>
      <c r="N82" s="33" t="str">
        <f>Table4[[#This Row],[Intermediate Qualified System Name]]&amp;"--"&amp;Table4[[#This Row],[Collection Intermediate Qualified Name]]&amp;"--"&amp;Table4[[#This Row],[Dataset Intermediate Qualified Name]]&amp;"--"&amp;Table4[[#This Row],[Field Intermediate Qualified Name]]</f>
        <v>database--relational-database--recipe-update-notification--machine_id</v>
      </c>
      <c r="P82" t="s">
        <v>168</v>
      </c>
    </row>
    <row r="83" spans="1:17" x14ac:dyDescent="0.3">
      <c r="B83">
        <v>82</v>
      </c>
      <c r="C83" s="31" t="s">
        <v>306</v>
      </c>
      <c r="D83" t="s">
        <v>479</v>
      </c>
      <c r="E83" s="31" t="s">
        <v>402</v>
      </c>
      <c r="F83" s="33" t="str">
        <f t="shared" si="16"/>
        <v>database</v>
      </c>
      <c r="G83" t="s">
        <v>419</v>
      </c>
      <c r="H83" s="33" t="str">
        <f t="shared" si="17"/>
        <v>relational-database</v>
      </c>
      <c r="I83" s="31" t="s">
        <v>473</v>
      </c>
      <c r="J83" s="33" t="str">
        <f t="shared" si="18"/>
        <v>recipe-update-notification</v>
      </c>
      <c r="K83" s="33" t="str">
        <f>Table4[[#This Row],[Intermediate Qualified System Name]]&amp;"--"&amp;Table4[[#This Row],[Collection Intermediate Qualified Name]]&amp;"--"&amp;Table4[[#This Row],[Dataset Intermediate Qualified Name]]</f>
        <v>database--relational-database--recipe-update-notification</v>
      </c>
      <c r="L83" t="s">
        <v>480</v>
      </c>
      <c r="M83" s="33" t="str">
        <f t="shared" si="19"/>
        <v>recipe_id</v>
      </c>
      <c r="N83" s="33" t="str">
        <f>Table4[[#This Row],[Intermediate Qualified System Name]]&amp;"--"&amp;Table4[[#This Row],[Collection Intermediate Qualified Name]]&amp;"--"&amp;Table4[[#This Row],[Dataset Intermediate Qualified Name]]&amp;"--"&amp;Table4[[#This Row],[Field Intermediate Qualified Name]]</f>
        <v>database--relational-database--recipe-update-notification--recipe_id</v>
      </c>
      <c r="P83" t="s">
        <v>168</v>
      </c>
    </row>
    <row r="84" spans="1:17" x14ac:dyDescent="0.3">
      <c r="B84">
        <v>83</v>
      </c>
      <c r="C84" s="31" t="s">
        <v>308</v>
      </c>
      <c r="D84" t="s">
        <v>481</v>
      </c>
      <c r="E84" s="31" t="s">
        <v>402</v>
      </c>
      <c r="F84" s="33" t="str">
        <f t="shared" si="16"/>
        <v>database</v>
      </c>
      <c r="G84" t="s">
        <v>419</v>
      </c>
      <c r="H84" s="33" t="str">
        <f t="shared" si="17"/>
        <v>relational-database</v>
      </c>
      <c r="I84" s="31" t="s">
        <v>473</v>
      </c>
      <c r="J84" s="33" t="str">
        <f t="shared" si="18"/>
        <v>recipe-update-notification</v>
      </c>
      <c r="K84" s="33" t="str">
        <f>Table4[[#This Row],[Intermediate Qualified System Name]]&amp;"--"&amp;Table4[[#This Row],[Collection Intermediate Qualified Name]]&amp;"--"&amp;Table4[[#This Row],[Dataset Intermediate Qualified Name]]</f>
        <v>database--relational-database--recipe-update-notification</v>
      </c>
      <c r="L84" t="s">
        <v>482</v>
      </c>
      <c r="M84" s="33" t="str">
        <f t="shared" si="19"/>
        <v>target_version</v>
      </c>
      <c r="N84" s="33" t="str">
        <f>Table4[[#This Row],[Intermediate Qualified System Name]]&amp;"--"&amp;Table4[[#This Row],[Collection Intermediate Qualified Name]]&amp;"--"&amp;Table4[[#This Row],[Dataset Intermediate Qualified Name]]&amp;"--"&amp;Table4[[#This Row],[Field Intermediate Qualified Name]]</f>
        <v>database--relational-database--recipe-update-notification--target_version</v>
      </c>
      <c r="P84" t="s">
        <v>168</v>
      </c>
    </row>
    <row r="85" spans="1:17" x14ac:dyDescent="0.3">
      <c r="B85">
        <v>84</v>
      </c>
      <c r="C85" s="31" t="s">
        <v>310</v>
      </c>
      <c r="D85" t="s">
        <v>483</v>
      </c>
      <c r="E85" s="31" t="s">
        <v>402</v>
      </c>
      <c r="F85" s="33" t="str">
        <f t="shared" si="16"/>
        <v>database</v>
      </c>
      <c r="G85" t="s">
        <v>419</v>
      </c>
      <c r="H85" s="33" t="str">
        <f t="shared" si="17"/>
        <v>relational-database</v>
      </c>
      <c r="I85" s="31" t="s">
        <v>473</v>
      </c>
      <c r="J85" s="33" t="str">
        <f t="shared" si="18"/>
        <v>recipe-update-notification</v>
      </c>
      <c r="K85" s="33" t="str">
        <f>Table4[[#This Row],[Intermediate Qualified System Name]]&amp;"--"&amp;Table4[[#This Row],[Collection Intermediate Qualified Name]]&amp;"--"&amp;Table4[[#This Row],[Dataset Intermediate Qualified Name]]</f>
        <v>database--relational-database--recipe-update-notification</v>
      </c>
      <c r="L85" t="s">
        <v>484</v>
      </c>
      <c r="M85" s="33" t="str">
        <f t="shared" si="19"/>
        <v>artifact_uri</v>
      </c>
      <c r="N85" s="33" t="str">
        <f>Table4[[#This Row],[Intermediate Qualified System Name]]&amp;"--"&amp;Table4[[#This Row],[Collection Intermediate Qualified Name]]&amp;"--"&amp;Table4[[#This Row],[Dataset Intermediate Qualified Name]]&amp;"--"&amp;Table4[[#This Row],[Field Intermediate Qualified Name]]</f>
        <v>database--relational-database--recipe-update-notification--artifact_uri</v>
      </c>
      <c r="P85" t="s">
        <v>168</v>
      </c>
    </row>
    <row r="86" spans="1:17" x14ac:dyDescent="0.3">
      <c r="B86">
        <v>85</v>
      </c>
      <c r="C86" s="31" t="s">
        <v>312</v>
      </c>
      <c r="D86" s="31" t="s">
        <v>485</v>
      </c>
      <c r="E86" s="31" t="s">
        <v>402</v>
      </c>
      <c r="F86" s="33" t="str">
        <f t="shared" si="16"/>
        <v>database</v>
      </c>
      <c r="G86" t="s">
        <v>419</v>
      </c>
      <c r="H86" s="33" t="str">
        <f t="shared" si="17"/>
        <v>relational-database</v>
      </c>
      <c r="I86" s="31" t="s">
        <v>473</v>
      </c>
      <c r="J86" s="33" t="str">
        <f t="shared" si="18"/>
        <v>recipe-update-notification</v>
      </c>
      <c r="K86" s="33" t="str">
        <f>Table4[[#This Row],[Intermediate Qualified System Name]]&amp;"--"&amp;Table4[[#This Row],[Collection Intermediate Qualified Name]]&amp;"--"&amp;Table4[[#This Row],[Dataset Intermediate Qualified Name]]</f>
        <v>database--relational-database--recipe-update-notification</v>
      </c>
      <c r="L86" s="31" t="s">
        <v>486</v>
      </c>
      <c r="M86" s="33" t="str">
        <f t="shared" si="19"/>
        <v>artifact_sha256</v>
      </c>
      <c r="N86" s="33" t="str">
        <f>Table4[[#This Row],[Intermediate Qualified System Name]]&amp;"--"&amp;Table4[[#This Row],[Collection Intermediate Qualified Name]]&amp;"--"&amp;Table4[[#This Row],[Dataset Intermediate Qualified Name]]&amp;"--"&amp;Table4[[#This Row],[Field Intermediate Qualified Name]]</f>
        <v>database--relational-database--recipe-update-notification--artifact_sha256</v>
      </c>
      <c r="P86" s="31" t="s">
        <v>168</v>
      </c>
    </row>
    <row r="87" spans="1:17" x14ac:dyDescent="0.3">
      <c r="A87" s="80"/>
      <c r="B87">
        <v>86</v>
      </c>
      <c r="C87" s="31" t="s">
        <v>314</v>
      </c>
      <c r="D87" t="s">
        <v>487</v>
      </c>
      <c r="E87" s="31" t="s">
        <v>402</v>
      </c>
      <c r="F87" s="33" t="str">
        <f t="shared" si="16"/>
        <v>database</v>
      </c>
      <c r="G87" t="s">
        <v>419</v>
      </c>
      <c r="H87" s="33" t="str">
        <f t="shared" si="17"/>
        <v>relational-database</v>
      </c>
      <c r="I87" s="31" t="s">
        <v>473</v>
      </c>
      <c r="J87" s="33" t="str">
        <f t="shared" si="18"/>
        <v>recipe-update-notification</v>
      </c>
      <c r="K87" s="33" t="str">
        <f>Table4[[#This Row],[Intermediate Qualified System Name]]&amp;"--"&amp;Table4[[#This Row],[Collection Intermediate Qualified Name]]&amp;"--"&amp;Table4[[#This Row],[Dataset Intermediate Qualified Name]]</f>
        <v>database--relational-database--recipe-update-notification</v>
      </c>
      <c r="L87" t="s">
        <v>488</v>
      </c>
      <c r="M87" s="33" t="str">
        <f t="shared" si="19"/>
        <v>size_bytes</v>
      </c>
      <c r="N87" s="33" t="str">
        <f>Table4[[#This Row],[Intermediate Qualified System Name]]&amp;"--"&amp;Table4[[#This Row],[Collection Intermediate Qualified Name]]&amp;"--"&amp;Table4[[#This Row],[Dataset Intermediate Qualified Name]]&amp;"--"&amp;Table4[[#This Row],[Field Intermediate Qualified Name]]</f>
        <v>database--relational-database--recipe-update-notification--size_bytes</v>
      </c>
      <c r="P87" s="31" t="s">
        <v>174</v>
      </c>
    </row>
    <row r="88" spans="1:17" x14ac:dyDescent="0.3">
      <c r="A88" s="80"/>
      <c r="B88">
        <v>87</v>
      </c>
      <c r="C88" s="31" t="s">
        <v>489</v>
      </c>
      <c r="D88" t="s">
        <v>490</v>
      </c>
      <c r="E88" s="31" t="s">
        <v>402</v>
      </c>
      <c r="F88" s="33" t="str">
        <f t="shared" si="16"/>
        <v>database</v>
      </c>
      <c r="G88" t="s">
        <v>419</v>
      </c>
      <c r="H88" s="33" t="str">
        <f t="shared" si="17"/>
        <v>relational-database</v>
      </c>
      <c r="I88" s="31" t="s">
        <v>473</v>
      </c>
      <c r="J88" s="33" t="str">
        <f t="shared" si="18"/>
        <v>recipe-update-notification</v>
      </c>
      <c r="K88" s="33" t="str">
        <f>Table4[[#This Row],[Intermediate Qualified System Name]]&amp;"--"&amp;Table4[[#This Row],[Collection Intermediate Qualified Name]]&amp;"--"&amp;Table4[[#This Row],[Dataset Intermediate Qualified Name]]</f>
        <v>database--relational-database--recipe-update-notification</v>
      </c>
      <c r="L88" t="s">
        <v>491</v>
      </c>
      <c r="M88" s="33" t="str">
        <f t="shared" si="19"/>
        <v>mandatory</v>
      </c>
      <c r="N88" s="33" t="str">
        <f>Table4[[#This Row],[Intermediate Qualified System Name]]&amp;"--"&amp;Table4[[#This Row],[Collection Intermediate Qualified Name]]&amp;"--"&amp;Table4[[#This Row],[Dataset Intermediate Qualified Name]]&amp;"--"&amp;Table4[[#This Row],[Field Intermediate Qualified Name]]</f>
        <v>database--relational-database--recipe-update-notification--mandatory</v>
      </c>
      <c r="P88" s="31" t="s">
        <v>168</v>
      </c>
    </row>
    <row r="89" spans="1:17" x14ac:dyDescent="0.3">
      <c r="A89" s="80"/>
      <c r="B89">
        <v>88</v>
      </c>
      <c r="C89" s="31" t="s">
        <v>318</v>
      </c>
      <c r="D89" t="s">
        <v>492</v>
      </c>
      <c r="E89" s="31" t="s">
        <v>402</v>
      </c>
      <c r="F89" s="33" t="str">
        <f t="shared" si="16"/>
        <v>database</v>
      </c>
      <c r="G89" t="s">
        <v>419</v>
      </c>
      <c r="H89" s="33" t="str">
        <f t="shared" si="17"/>
        <v>relational-database</v>
      </c>
      <c r="I89" s="31" t="s">
        <v>473</v>
      </c>
      <c r="J89" s="33" t="str">
        <f t="shared" si="18"/>
        <v>recipe-update-notification</v>
      </c>
      <c r="K89" s="33" t="str">
        <f>Table4[[#This Row],[Intermediate Qualified System Name]]&amp;"--"&amp;Table4[[#This Row],[Collection Intermediate Qualified Name]]&amp;"--"&amp;Table4[[#This Row],[Dataset Intermediate Qualified Name]]</f>
        <v>database--relational-database--recipe-update-notification</v>
      </c>
      <c r="L89" t="s">
        <v>493</v>
      </c>
      <c r="M89" s="33" t="str">
        <f t="shared" si="19"/>
        <v>notes</v>
      </c>
      <c r="N89" s="33" t="str">
        <f>Table4[[#This Row],[Intermediate Qualified System Name]]&amp;"--"&amp;Table4[[#This Row],[Collection Intermediate Qualified Name]]&amp;"--"&amp;Table4[[#This Row],[Dataset Intermediate Qualified Name]]&amp;"--"&amp;Table4[[#This Row],[Field Intermediate Qualified Name]]</f>
        <v>database--relational-database--recipe-update-notification--notes</v>
      </c>
      <c r="P89" s="31" t="s">
        <v>168</v>
      </c>
    </row>
    <row r="90" spans="1:17" x14ac:dyDescent="0.3">
      <c r="A90" s="80"/>
      <c r="B90">
        <v>89</v>
      </c>
      <c r="C90" s="111" t="s">
        <v>302</v>
      </c>
      <c r="D90" s="112" t="s">
        <v>472</v>
      </c>
      <c r="E90" s="113" t="s">
        <v>494</v>
      </c>
      <c r="F90" s="114" t="str">
        <f t="shared" ref="F90:F109" si="20">SUBSTITUTE(SUBSTITUTE(SUBSTITUTE(SUBSTITUTE(LOWER(E90),"&amp;",""),"-",""),"  ","-")," ","-")</f>
        <v>kafka-cluster</v>
      </c>
      <c r="G90" s="113" t="s">
        <v>495</v>
      </c>
      <c r="H90" s="114" t="str">
        <f t="shared" ref="H90:H109" si="21">SUBSTITUTE(SUBSTITUTE(SUBSTITUTE(SUBSTITUTE(LOWER(G90),"&amp;",""),"-",""),"  ","-")," ","-")</f>
        <v>recipe-notification-topic</v>
      </c>
      <c r="I90" s="111" t="s">
        <v>473</v>
      </c>
      <c r="J90" s="114" t="str">
        <f t="shared" ref="J90:J109" si="22">SUBSTITUTE(SUBSTITUTE(SUBSTITUTE(SUBSTITUTE(LOWER(I90),"&amp;",""),"-",""),"  ","-")," ","-")</f>
        <v>recipe-update-notification</v>
      </c>
      <c r="K90" s="33" t="str">
        <f>Table4[[#This Row],[Intermediate Qualified System Name]]&amp;"--"&amp;Table4[[#This Row],[Collection Intermediate Qualified Name]]&amp;"--"&amp;Table4[[#This Row],[Dataset Intermediate Qualified Name]]</f>
        <v>kafka-cluster--recipe-notification-topic--recipe-update-notification</v>
      </c>
      <c r="L90" s="113" t="s">
        <v>474</v>
      </c>
      <c r="M90" s="114" t="str">
        <f t="shared" ref="M90:M109" si="23">SUBSTITUTE(SUBSTITUTE(SUBSTITUTE(LOWER(L90),"&amp;",""),"  ","-")," ","-")</f>
        <v>notification_id</v>
      </c>
      <c r="N90"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kafka-cluster--recipe-notification-topic--recipe-update-notification--notification_id</v>
      </c>
      <c r="O90" s="111"/>
      <c r="P90" s="113" t="s">
        <v>168</v>
      </c>
      <c r="Q90" s="114"/>
    </row>
    <row r="91" spans="1:17" x14ac:dyDescent="0.3">
      <c r="A91" s="80"/>
      <c r="B91">
        <v>90</v>
      </c>
      <c r="C91" s="111" t="s">
        <v>304</v>
      </c>
      <c r="D91" s="112" t="s">
        <v>475</v>
      </c>
      <c r="E91" s="113" t="s">
        <v>494</v>
      </c>
      <c r="F91" s="114" t="str">
        <f t="shared" si="20"/>
        <v>kafka-cluster</v>
      </c>
      <c r="G91" s="113" t="s">
        <v>495</v>
      </c>
      <c r="H91" s="114" t="str">
        <f t="shared" si="21"/>
        <v>recipe-notification-topic</v>
      </c>
      <c r="I91" s="111" t="s">
        <v>473</v>
      </c>
      <c r="J91" s="114" t="str">
        <f t="shared" si="22"/>
        <v>recipe-update-notification</v>
      </c>
      <c r="K91" s="33" t="str">
        <f>Table4[[#This Row],[Intermediate Qualified System Name]]&amp;"--"&amp;Table4[[#This Row],[Collection Intermediate Qualified Name]]&amp;"--"&amp;Table4[[#This Row],[Dataset Intermediate Qualified Name]]</f>
        <v>kafka-cluster--recipe-notification-topic--recipe-update-notification</v>
      </c>
      <c r="L91" s="113" t="s">
        <v>476</v>
      </c>
      <c r="M91" s="114" t="str">
        <f t="shared" si="23"/>
        <v>sent_at</v>
      </c>
      <c r="N91"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kafka-cluster--recipe-notification-topic--recipe-update-notification--sent_at</v>
      </c>
      <c r="O91" s="111"/>
      <c r="P91" s="113" t="s">
        <v>4</v>
      </c>
      <c r="Q91" s="114"/>
    </row>
    <row r="92" spans="1:17" x14ac:dyDescent="0.3">
      <c r="A92" s="80"/>
      <c r="B92">
        <v>91</v>
      </c>
      <c r="C92" s="113" t="s">
        <v>289</v>
      </c>
      <c r="D92" s="112" t="s">
        <v>451</v>
      </c>
      <c r="E92" s="113" t="s">
        <v>494</v>
      </c>
      <c r="F92" s="114" t="str">
        <f t="shared" si="20"/>
        <v>kafka-cluster</v>
      </c>
      <c r="G92" s="113" t="s">
        <v>495</v>
      </c>
      <c r="H92" s="114" t="str">
        <f t="shared" si="21"/>
        <v>recipe-notification-topic</v>
      </c>
      <c r="I92" s="111" t="s">
        <v>473</v>
      </c>
      <c r="J92" s="114" t="str">
        <f t="shared" si="22"/>
        <v>recipe-update-notification</v>
      </c>
      <c r="K92" s="33" t="str">
        <f>Table4[[#This Row],[Intermediate Qualified System Name]]&amp;"--"&amp;Table4[[#This Row],[Collection Intermediate Qualified Name]]&amp;"--"&amp;Table4[[#This Row],[Dataset Intermediate Qualified Name]]</f>
        <v>kafka-cluster--recipe-notification-topic--recipe-update-notification</v>
      </c>
      <c r="L92" s="113" t="s">
        <v>477</v>
      </c>
      <c r="M92" s="114" t="str">
        <f t="shared" si="23"/>
        <v>distributor_id</v>
      </c>
      <c r="N92"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kafka-cluster--recipe-notification-topic--recipe-update-notification--distributor_id</v>
      </c>
      <c r="O92" s="111"/>
      <c r="P92" s="113" t="s">
        <v>168</v>
      </c>
      <c r="Q92" s="114"/>
    </row>
    <row r="93" spans="1:17" x14ac:dyDescent="0.3">
      <c r="B93">
        <v>92</v>
      </c>
      <c r="C93" s="113" t="s">
        <v>287</v>
      </c>
      <c r="D93" s="112" t="s">
        <v>446</v>
      </c>
      <c r="E93" s="113" t="s">
        <v>494</v>
      </c>
      <c r="F93" s="114" t="str">
        <f t="shared" si="20"/>
        <v>kafka-cluster</v>
      </c>
      <c r="G93" s="113" t="s">
        <v>495</v>
      </c>
      <c r="H93" s="114" t="str">
        <f t="shared" si="21"/>
        <v>recipe-notification-topic</v>
      </c>
      <c r="I93" s="111" t="s">
        <v>473</v>
      </c>
      <c r="J93" s="114" t="str">
        <f t="shared" si="22"/>
        <v>recipe-update-notification</v>
      </c>
      <c r="K93" s="33" t="str">
        <f>Table4[[#This Row],[Intermediate Qualified System Name]]&amp;"--"&amp;Table4[[#This Row],[Collection Intermediate Qualified Name]]&amp;"--"&amp;Table4[[#This Row],[Dataset Intermediate Qualified Name]]</f>
        <v>kafka-cluster--recipe-notification-topic--recipe-update-notification</v>
      </c>
      <c r="L93" s="113" t="s">
        <v>478</v>
      </c>
      <c r="M93" s="114" t="str">
        <f t="shared" si="23"/>
        <v>machine_id</v>
      </c>
      <c r="N93"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kafka-cluster--recipe-notification-topic--recipe-update-notification--machine_id</v>
      </c>
      <c r="O93" s="111"/>
      <c r="P93" s="113" t="s">
        <v>168</v>
      </c>
      <c r="Q93" s="114"/>
    </row>
    <row r="94" spans="1:17" x14ac:dyDescent="0.3">
      <c r="B94">
        <v>93</v>
      </c>
      <c r="C94" s="113" t="s">
        <v>306</v>
      </c>
      <c r="D94" s="112" t="s">
        <v>479</v>
      </c>
      <c r="E94" s="113" t="s">
        <v>494</v>
      </c>
      <c r="F94" s="114" t="str">
        <f t="shared" si="20"/>
        <v>kafka-cluster</v>
      </c>
      <c r="G94" s="113" t="s">
        <v>495</v>
      </c>
      <c r="H94" s="114" t="str">
        <f t="shared" si="21"/>
        <v>recipe-notification-topic</v>
      </c>
      <c r="I94" s="111" t="s">
        <v>473</v>
      </c>
      <c r="J94" s="114" t="str">
        <f t="shared" si="22"/>
        <v>recipe-update-notification</v>
      </c>
      <c r="K94" s="33" t="str">
        <f>Table4[[#This Row],[Intermediate Qualified System Name]]&amp;"--"&amp;Table4[[#This Row],[Collection Intermediate Qualified Name]]&amp;"--"&amp;Table4[[#This Row],[Dataset Intermediate Qualified Name]]</f>
        <v>kafka-cluster--recipe-notification-topic--recipe-update-notification</v>
      </c>
      <c r="L94" s="113" t="s">
        <v>480</v>
      </c>
      <c r="M94" s="114" t="str">
        <f t="shared" si="23"/>
        <v>recipe_id</v>
      </c>
      <c r="N94"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kafka-cluster--recipe-notification-topic--recipe-update-notification--recipe_id</v>
      </c>
      <c r="O94" s="111"/>
      <c r="P94" s="113" t="s">
        <v>168</v>
      </c>
      <c r="Q94" s="114"/>
    </row>
    <row r="95" spans="1:17" x14ac:dyDescent="0.3">
      <c r="B95">
        <v>94</v>
      </c>
      <c r="C95" s="111" t="s">
        <v>308</v>
      </c>
      <c r="D95" s="112" t="s">
        <v>481</v>
      </c>
      <c r="E95" s="113" t="s">
        <v>494</v>
      </c>
      <c r="F95" s="114" t="str">
        <f t="shared" si="20"/>
        <v>kafka-cluster</v>
      </c>
      <c r="G95" s="113" t="s">
        <v>495</v>
      </c>
      <c r="H95" s="114" t="str">
        <f t="shared" si="21"/>
        <v>recipe-notification-topic</v>
      </c>
      <c r="I95" s="111" t="s">
        <v>473</v>
      </c>
      <c r="J95" s="114" t="str">
        <f t="shared" si="22"/>
        <v>recipe-update-notification</v>
      </c>
      <c r="K95" s="33" t="str">
        <f>Table4[[#This Row],[Intermediate Qualified System Name]]&amp;"--"&amp;Table4[[#This Row],[Collection Intermediate Qualified Name]]&amp;"--"&amp;Table4[[#This Row],[Dataset Intermediate Qualified Name]]</f>
        <v>kafka-cluster--recipe-notification-topic--recipe-update-notification</v>
      </c>
      <c r="L95" s="113" t="s">
        <v>482</v>
      </c>
      <c r="M95" s="114" t="str">
        <f t="shared" si="23"/>
        <v>target_version</v>
      </c>
      <c r="N95"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kafka-cluster--recipe-notification-topic--recipe-update-notification--target_version</v>
      </c>
      <c r="O95" s="111"/>
      <c r="P95" s="113" t="s">
        <v>168</v>
      </c>
      <c r="Q95" s="114"/>
    </row>
    <row r="96" spans="1:17" x14ac:dyDescent="0.3">
      <c r="B96">
        <v>95</v>
      </c>
      <c r="C96" s="111" t="s">
        <v>310</v>
      </c>
      <c r="D96" s="112" t="s">
        <v>483</v>
      </c>
      <c r="E96" s="113" t="s">
        <v>494</v>
      </c>
      <c r="F96" s="114" t="str">
        <f t="shared" si="20"/>
        <v>kafka-cluster</v>
      </c>
      <c r="G96" s="113" t="s">
        <v>495</v>
      </c>
      <c r="H96" s="114" t="str">
        <f t="shared" si="21"/>
        <v>recipe-notification-topic</v>
      </c>
      <c r="I96" s="111" t="s">
        <v>473</v>
      </c>
      <c r="J96" s="114" t="str">
        <f t="shared" si="22"/>
        <v>recipe-update-notification</v>
      </c>
      <c r="K96" s="33" t="str">
        <f>Table4[[#This Row],[Intermediate Qualified System Name]]&amp;"--"&amp;Table4[[#This Row],[Collection Intermediate Qualified Name]]&amp;"--"&amp;Table4[[#This Row],[Dataset Intermediate Qualified Name]]</f>
        <v>kafka-cluster--recipe-notification-topic--recipe-update-notification</v>
      </c>
      <c r="L96" s="113" t="s">
        <v>484</v>
      </c>
      <c r="M96" s="114" t="str">
        <f t="shared" si="23"/>
        <v>artifact_uri</v>
      </c>
      <c r="N96"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kafka-cluster--recipe-notification-topic--recipe-update-notification--artifact_uri</v>
      </c>
      <c r="O96" s="111"/>
      <c r="P96" s="113" t="s">
        <v>168</v>
      </c>
      <c r="Q96" s="114"/>
    </row>
    <row r="97" spans="1:17" x14ac:dyDescent="0.3">
      <c r="B97">
        <v>96</v>
      </c>
      <c r="C97" s="111" t="s">
        <v>312</v>
      </c>
      <c r="D97" s="112" t="s">
        <v>485</v>
      </c>
      <c r="E97" s="113" t="s">
        <v>494</v>
      </c>
      <c r="F97" s="114" t="str">
        <f t="shared" si="20"/>
        <v>kafka-cluster</v>
      </c>
      <c r="G97" s="113" t="s">
        <v>495</v>
      </c>
      <c r="H97" s="114" t="str">
        <f t="shared" si="21"/>
        <v>recipe-notification-topic</v>
      </c>
      <c r="I97" s="111" t="s">
        <v>473</v>
      </c>
      <c r="J97" s="114" t="str">
        <f t="shared" si="22"/>
        <v>recipe-update-notification</v>
      </c>
      <c r="K97" s="33" t="str">
        <f>Table4[[#This Row],[Intermediate Qualified System Name]]&amp;"--"&amp;Table4[[#This Row],[Collection Intermediate Qualified Name]]&amp;"--"&amp;Table4[[#This Row],[Dataset Intermediate Qualified Name]]</f>
        <v>kafka-cluster--recipe-notification-topic--recipe-update-notification</v>
      </c>
      <c r="L97" s="113" t="s">
        <v>486</v>
      </c>
      <c r="M97" s="114" t="str">
        <f t="shared" si="23"/>
        <v>artifact_sha256</v>
      </c>
      <c r="N97"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kafka-cluster--recipe-notification-topic--recipe-update-notification--artifact_sha256</v>
      </c>
      <c r="O97" s="111"/>
      <c r="P97" s="113" t="s">
        <v>168</v>
      </c>
      <c r="Q97" s="114"/>
    </row>
    <row r="98" spans="1:17" x14ac:dyDescent="0.3">
      <c r="B98">
        <v>97</v>
      </c>
      <c r="C98" s="113" t="s">
        <v>314</v>
      </c>
      <c r="D98" s="112" t="s">
        <v>487</v>
      </c>
      <c r="E98" s="113" t="s">
        <v>494</v>
      </c>
      <c r="F98" s="114" t="str">
        <f t="shared" si="20"/>
        <v>kafka-cluster</v>
      </c>
      <c r="G98" s="113" t="s">
        <v>495</v>
      </c>
      <c r="H98" s="114" t="str">
        <f t="shared" si="21"/>
        <v>recipe-notification-topic</v>
      </c>
      <c r="I98" s="111" t="s">
        <v>473</v>
      </c>
      <c r="J98" s="114" t="str">
        <f t="shared" si="22"/>
        <v>recipe-update-notification</v>
      </c>
      <c r="K98" s="33" t="str">
        <f>Table4[[#This Row],[Intermediate Qualified System Name]]&amp;"--"&amp;Table4[[#This Row],[Collection Intermediate Qualified Name]]&amp;"--"&amp;Table4[[#This Row],[Dataset Intermediate Qualified Name]]</f>
        <v>kafka-cluster--recipe-notification-topic--recipe-update-notification</v>
      </c>
      <c r="L98" s="113" t="s">
        <v>488</v>
      </c>
      <c r="M98" s="114" t="str">
        <f t="shared" si="23"/>
        <v>size_bytes</v>
      </c>
      <c r="N98"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kafka-cluster--recipe-notification-topic--recipe-update-notification--size_bytes</v>
      </c>
      <c r="O98" s="111"/>
      <c r="P98" s="113" t="s">
        <v>174</v>
      </c>
      <c r="Q98" s="114"/>
    </row>
    <row r="99" spans="1:17" x14ac:dyDescent="0.3">
      <c r="A99" s="80"/>
      <c r="B99">
        <v>98</v>
      </c>
      <c r="C99" s="113" t="s">
        <v>316</v>
      </c>
      <c r="D99" s="112" t="s">
        <v>490</v>
      </c>
      <c r="E99" s="113" t="s">
        <v>494</v>
      </c>
      <c r="F99" s="114" t="str">
        <f t="shared" si="20"/>
        <v>kafka-cluster</v>
      </c>
      <c r="G99" s="113" t="s">
        <v>495</v>
      </c>
      <c r="H99" s="114" t="str">
        <f t="shared" si="21"/>
        <v>recipe-notification-topic</v>
      </c>
      <c r="I99" s="111" t="s">
        <v>473</v>
      </c>
      <c r="J99" s="114" t="str">
        <f t="shared" si="22"/>
        <v>recipe-update-notification</v>
      </c>
      <c r="K99" s="33" t="str">
        <f>Table4[[#This Row],[Intermediate Qualified System Name]]&amp;"--"&amp;Table4[[#This Row],[Collection Intermediate Qualified Name]]&amp;"--"&amp;Table4[[#This Row],[Dataset Intermediate Qualified Name]]</f>
        <v>kafka-cluster--recipe-notification-topic--recipe-update-notification</v>
      </c>
      <c r="L99" s="113" t="s">
        <v>491</v>
      </c>
      <c r="M99" s="114" t="str">
        <f t="shared" si="23"/>
        <v>mandatory</v>
      </c>
      <c r="N99"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kafka-cluster--recipe-notification-topic--recipe-update-notification--mandatory</v>
      </c>
      <c r="O99" s="111"/>
      <c r="P99" s="113" t="s">
        <v>168</v>
      </c>
      <c r="Q99" s="114"/>
    </row>
    <row r="100" spans="1:17" x14ac:dyDescent="0.3">
      <c r="A100" s="80"/>
      <c r="B100">
        <v>99</v>
      </c>
      <c r="C100" s="113" t="s">
        <v>318</v>
      </c>
      <c r="D100" s="112" t="s">
        <v>492</v>
      </c>
      <c r="E100" s="113" t="s">
        <v>494</v>
      </c>
      <c r="F100" s="114" t="str">
        <f t="shared" si="20"/>
        <v>kafka-cluster</v>
      </c>
      <c r="G100" s="113" t="s">
        <v>495</v>
      </c>
      <c r="H100" s="114" t="str">
        <f t="shared" si="21"/>
        <v>recipe-notification-topic</v>
      </c>
      <c r="I100" s="111" t="s">
        <v>473</v>
      </c>
      <c r="J100" s="114" t="str">
        <f t="shared" si="22"/>
        <v>recipe-update-notification</v>
      </c>
      <c r="K100" s="33" t="str">
        <f>Table4[[#This Row],[Intermediate Qualified System Name]]&amp;"--"&amp;Table4[[#This Row],[Collection Intermediate Qualified Name]]&amp;"--"&amp;Table4[[#This Row],[Dataset Intermediate Qualified Name]]</f>
        <v>kafka-cluster--recipe-notification-topic--recipe-update-notification</v>
      </c>
      <c r="L100" s="113" t="s">
        <v>493</v>
      </c>
      <c r="M100" s="114" t="str">
        <f t="shared" si="23"/>
        <v>notes</v>
      </c>
      <c r="N100"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kafka-cluster--recipe-notification-topic--recipe-update-notification--notes</v>
      </c>
      <c r="O100" s="115"/>
      <c r="P100" s="113" t="s">
        <v>168</v>
      </c>
      <c r="Q100" s="114"/>
    </row>
    <row r="101" spans="1:17" x14ac:dyDescent="0.3">
      <c r="A101" s="80"/>
      <c r="B101">
        <v>100</v>
      </c>
      <c r="C101" s="116" t="s">
        <v>199</v>
      </c>
      <c r="D101" s="117" t="s">
        <v>352</v>
      </c>
      <c r="E101" s="116" t="s">
        <v>494</v>
      </c>
      <c r="F101" s="118" t="str">
        <f t="shared" si="20"/>
        <v>kafka-cluster</v>
      </c>
      <c r="G101" s="116" t="s">
        <v>496</v>
      </c>
      <c r="H101" s="118" t="str">
        <f t="shared" si="21"/>
        <v>beverage-event-topic</v>
      </c>
      <c r="I101" s="119" t="s">
        <v>497</v>
      </c>
      <c r="J101" s="118" t="str">
        <f t="shared" si="22"/>
        <v>beverage-event</v>
      </c>
      <c r="K101" s="33" t="str">
        <f>Table4[[#This Row],[Intermediate Qualified System Name]]&amp;"--"&amp;Table4[[#This Row],[Collection Intermediate Qualified Name]]&amp;"--"&amp;Table4[[#This Row],[Dataset Intermediate Qualified Name]]</f>
        <v>kafka-cluster--beverage-event-topic--beverage-event</v>
      </c>
      <c r="L101" s="116" t="s">
        <v>498</v>
      </c>
      <c r="M101" s="118" t="str">
        <f t="shared" si="23"/>
        <v>event_id</v>
      </c>
      <c r="N101" s="33" t="str">
        <f>Table4[[#This Row],[Intermediate Qualified System Name]]&amp;"--"&amp;Table4[[#This Row],[Collection Intermediate Qualified Name]]&amp;"--"&amp;Table4[[#This Row],[Dataset Intermediate Qualified Name]]&amp;"--"&amp;Table4[[#This Row],[Field Intermediate Qualified Name]]</f>
        <v>kafka-cluster--beverage-event-topic--beverage-event--event_id</v>
      </c>
      <c r="O101" s="119"/>
      <c r="P101" s="116" t="s">
        <v>168</v>
      </c>
      <c r="Q101" s="118"/>
    </row>
    <row r="102" spans="1:17" x14ac:dyDescent="0.3">
      <c r="A102" s="80"/>
      <c r="B102">
        <v>101</v>
      </c>
      <c r="C102" s="116" t="s">
        <v>293</v>
      </c>
      <c r="D102" s="117" t="s">
        <v>463</v>
      </c>
      <c r="E102" s="116" t="s">
        <v>494</v>
      </c>
      <c r="F102" s="118" t="str">
        <f t="shared" si="20"/>
        <v>kafka-cluster</v>
      </c>
      <c r="G102" s="116" t="s">
        <v>496</v>
      </c>
      <c r="H102" s="118" t="str">
        <f t="shared" si="21"/>
        <v>beverage-event-topic</v>
      </c>
      <c r="I102" s="119" t="s">
        <v>497</v>
      </c>
      <c r="J102" s="118" t="str">
        <f t="shared" si="22"/>
        <v>beverage-event</v>
      </c>
      <c r="K102" s="33" t="str">
        <f>Table4[[#This Row],[Intermediate Qualified System Name]]&amp;"--"&amp;Table4[[#This Row],[Collection Intermediate Qualified Name]]&amp;"--"&amp;Table4[[#This Row],[Dataset Intermediate Qualified Name]]</f>
        <v>kafka-cluster--beverage-event-topic--beverage-event</v>
      </c>
      <c r="L102" s="116" t="s">
        <v>464</v>
      </c>
      <c r="M102" s="118" t="str">
        <f t="shared" si="23"/>
        <v>occurred_at​</v>
      </c>
      <c r="N102" s="33" t="str">
        <f>Table4[[#This Row],[Intermediate Qualified System Name]]&amp;"--"&amp;Table4[[#This Row],[Collection Intermediate Qualified Name]]&amp;"--"&amp;Table4[[#This Row],[Dataset Intermediate Qualified Name]]&amp;"--"&amp;Table4[[#This Row],[Field Intermediate Qualified Name]]</f>
        <v>kafka-cluster--beverage-event-topic--beverage-event--occurred_at​</v>
      </c>
      <c r="O102" s="119"/>
      <c r="P102" s="116" t="s">
        <v>4</v>
      </c>
      <c r="Q102" s="118"/>
    </row>
    <row r="103" spans="1:17" x14ac:dyDescent="0.3">
      <c r="A103" s="80"/>
      <c r="B103">
        <v>102</v>
      </c>
      <c r="C103" s="116" t="s">
        <v>287</v>
      </c>
      <c r="D103" s="117" t="s">
        <v>446</v>
      </c>
      <c r="E103" s="116" t="s">
        <v>494</v>
      </c>
      <c r="F103" s="118" t="str">
        <f t="shared" si="20"/>
        <v>kafka-cluster</v>
      </c>
      <c r="G103" s="116" t="s">
        <v>496</v>
      </c>
      <c r="H103" s="118" t="str">
        <f t="shared" si="21"/>
        <v>beverage-event-topic</v>
      </c>
      <c r="I103" s="119" t="s">
        <v>497</v>
      </c>
      <c r="J103" s="118" t="str">
        <f t="shared" si="22"/>
        <v>beverage-event</v>
      </c>
      <c r="K103" s="33" t="str">
        <f>Table4[[#This Row],[Intermediate Qualified System Name]]&amp;"--"&amp;Table4[[#This Row],[Collection Intermediate Qualified Name]]&amp;"--"&amp;Table4[[#This Row],[Dataset Intermediate Qualified Name]]</f>
        <v>kafka-cluster--beverage-event-topic--beverage-event</v>
      </c>
      <c r="L103" s="116" t="s">
        <v>478</v>
      </c>
      <c r="M103" s="118" t="str">
        <f t="shared" si="23"/>
        <v>machine_id</v>
      </c>
      <c r="N103" s="33" t="str">
        <f>Table4[[#This Row],[Intermediate Qualified System Name]]&amp;"--"&amp;Table4[[#This Row],[Collection Intermediate Qualified Name]]&amp;"--"&amp;Table4[[#This Row],[Dataset Intermediate Qualified Name]]&amp;"--"&amp;Table4[[#This Row],[Field Intermediate Qualified Name]]</f>
        <v>kafka-cluster--beverage-event-topic--beverage-event--machine_id</v>
      </c>
      <c r="O103" s="119"/>
      <c r="P103" s="116" t="s">
        <v>168</v>
      </c>
      <c r="Q103" s="118"/>
    </row>
    <row r="104" spans="1:17" x14ac:dyDescent="0.3">
      <c r="A104" s="80"/>
      <c r="B104">
        <v>103</v>
      </c>
      <c r="C104" s="116" t="s">
        <v>289</v>
      </c>
      <c r="D104" s="117" t="s">
        <v>451</v>
      </c>
      <c r="E104" s="116" t="s">
        <v>494</v>
      </c>
      <c r="F104" s="118" t="str">
        <f t="shared" si="20"/>
        <v>kafka-cluster</v>
      </c>
      <c r="G104" s="116" t="s">
        <v>496</v>
      </c>
      <c r="H104" s="118" t="str">
        <f t="shared" si="21"/>
        <v>beverage-event-topic</v>
      </c>
      <c r="I104" s="119" t="s">
        <v>497</v>
      </c>
      <c r="J104" s="118" t="str">
        <f t="shared" si="22"/>
        <v>beverage-event</v>
      </c>
      <c r="K104" s="33" t="str">
        <f>Table4[[#This Row],[Intermediate Qualified System Name]]&amp;"--"&amp;Table4[[#This Row],[Collection Intermediate Qualified Name]]&amp;"--"&amp;Table4[[#This Row],[Dataset Intermediate Qualified Name]]</f>
        <v>kafka-cluster--beverage-event-topic--beverage-event</v>
      </c>
      <c r="L104" s="116" t="s">
        <v>477</v>
      </c>
      <c r="M104" s="118" t="str">
        <f t="shared" si="23"/>
        <v>distributor_id</v>
      </c>
      <c r="N104" s="33" t="str">
        <f>Table4[[#This Row],[Intermediate Qualified System Name]]&amp;"--"&amp;Table4[[#This Row],[Collection Intermediate Qualified Name]]&amp;"--"&amp;Table4[[#This Row],[Dataset Intermediate Qualified Name]]&amp;"--"&amp;Table4[[#This Row],[Field Intermediate Qualified Name]]</f>
        <v>kafka-cluster--beverage-event-topic--beverage-event--distributor_id</v>
      </c>
      <c r="O104" s="119"/>
      <c r="P104" s="116" t="s">
        <v>168</v>
      </c>
      <c r="Q104" s="118"/>
    </row>
    <row r="105" spans="1:17" x14ac:dyDescent="0.3">
      <c r="B105">
        <v>104</v>
      </c>
      <c r="C105" s="116" t="s">
        <v>166</v>
      </c>
      <c r="D105" s="117" t="s">
        <v>325</v>
      </c>
      <c r="E105" s="116" t="s">
        <v>494</v>
      </c>
      <c r="F105" s="118" t="str">
        <f t="shared" si="20"/>
        <v>kafka-cluster</v>
      </c>
      <c r="G105" s="116" t="s">
        <v>496</v>
      </c>
      <c r="H105" s="118" t="str">
        <f t="shared" si="21"/>
        <v>beverage-event-topic</v>
      </c>
      <c r="I105" s="119" t="s">
        <v>497</v>
      </c>
      <c r="J105" s="118" t="str">
        <f t="shared" si="22"/>
        <v>beverage-event</v>
      </c>
      <c r="K105" s="33" t="str">
        <f>Table4[[#This Row],[Intermediate Qualified System Name]]&amp;"--"&amp;Table4[[#This Row],[Collection Intermediate Qualified Name]]&amp;"--"&amp;Table4[[#This Row],[Dataset Intermediate Qualified Name]]</f>
        <v>kafka-cluster--beverage-event-topic--beverage-event</v>
      </c>
      <c r="L105" s="116" t="s">
        <v>453</v>
      </c>
      <c r="M105" s="118" t="str">
        <f t="shared" si="23"/>
        <v>order_beverage​</v>
      </c>
      <c r="N105" s="33" t="str">
        <f>Table4[[#This Row],[Intermediate Qualified System Name]]&amp;"--"&amp;Table4[[#This Row],[Collection Intermediate Qualified Name]]&amp;"--"&amp;Table4[[#This Row],[Dataset Intermediate Qualified Name]]&amp;"--"&amp;Table4[[#This Row],[Field Intermediate Qualified Name]]</f>
        <v>kafka-cluster--beverage-event-topic--beverage-event--order_beverage​</v>
      </c>
      <c r="O105" s="119"/>
      <c r="P105" s="120" t="s">
        <v>168</v>
      </c>
      <c r="Q105" s="118"/>
    </row>
    <row r="106" spans="1:17" x14ac:dyDescent="0.3">
      <c r="B106">
        <v>105</v>
      </c>
      <c r="C106" s="116" t="s">
        <v>169</v>
      </c>
      <c r="D106" s="117" t="s">
        <v>330</v>
      </c>
      <c r="E106" s="116" t="s">
        <v>494</v>
      </c>
      <c r="F106" s="118" t="str">
        <f t="shared" si="20"/>
        <v>kafka-cluster</v>
      </c>
      <c r="G106" s="116" t="s">
        <v>496</v>
      </c>
      <c r="H106" s="118" t="str">
        <f t="shared" si="21"/>
        <v>beverage-event-topic</v>
      </c>
      <c r="I106" s="119" t="s">
        <v>497</v>
      </c>
      <c r="J106" s="118" t="str">
        <f t="shared" si="22"/>
        <v>beverage-event</v>
      </c>
      <c r="K106" s="33" t="str">
        <f>Table4[[#This Row],[Intermediate Qualified System Name]]&amp;"--"&amp;Table4[[#This Row],[Collection Intermediate Qualified Name]]&amp;"--"&amp;Table4[[#This Row],[Dataset Intermediate Qualified Name]]</f>
        <v>kafka-cluster--beverage-event-topic--beverage-event</v>
      </c>
      <c r="L106" s="116" t="s">
        <v>454</v>
      </c>
      <c r="M106" s="118" t="str">
        <f t="shared" si="23"/>
        <v>order_volume​</v>
      </c>
      <c r="N106" s="33" t="str">
        <f>Table4[[#This Row],[Intermediate Qualified System Name]]&amp;"--"&amp;Table4[[#This Row],[Collection Intermediate Qualified Name]]&amp;"--"&amp;Table4[[#This Row],[Dataset Intermediate Qualified Name]]&amp;"--"&amp;Table4[[#This Row],[Field Intermediate Qualified Name]]</f>
        <v>kafka-cluster--beverage-event-topic--beverage-event--order_volume​</v>
      </c>
      <c r="O106" s="119"/>
      <c r="P106" s="116" t="s">
        <v>168</v>
      </c>
      <c r="Q106" s="118"/>
    </row>
    <row r="107" spans="1:17" x14ac:dyDescent="0.3">
      <c r="B107">
        <v>106</v>
      </c>
      <c r="C107" s="116" t="s">
        <v>172</v>
      </c>
      <c r="D107" s="117" t="s">
        <v>499</v>
      </c>
      <c r="E107" s="116" t="s">
        <v>494</v>
      </c>
      <c r="F107" s="118" t="str">
        <f t="shared" si="20"/>
        <v>kafka-cluster</v>
      </c>
      <c r="G107" s="116" t="s">
        <v>496</v>
      </c>
      <c r="H107" s="118" t="str">
        <f t="shared" si="21"/>
        <v>beverage-event-topic</v>
      </c>
      <c r="I107" s="119" t="s">
        <v>497</v>
      </c>
      <c r="J107" s="118" t="str">
        <f t="shared" si="22"/>
        <v>beverage-event</v>
      </c>
      <c r="K107" s="33" t="str">
        <f>Table4[[#This Row],[Intermediate Qualified System Name]]&amp;"--"&amp;Table4[[#This Row],[Collection Intermediate Qualified Name]]&amp;"--"&amp;Table4[[#This Row],[Dataset Intermediate Qualified Name]]</f>
        <v>kafka-cluster--beverage-event-topic--beverage-event</v>
      </c>
      <c r="L107" s="116" t="s">
        <v>455</v>
      </c>
      <c r="M107" s="118" t="str">
        <f t="shared" si="23"/>
        <v>order_ml​</v>
      </c>
      <c r="N107" s="33" t="str">
        <f>Table4[[#This Row],[Intermediate Qualified System Name]]&amp;"--"&amp;Table4[[#This Row],[Collection Intermediate Qualified Name]]&amp;"--"&amp;Table4[[#This Row],[Dataset Intermediate Qualified Name]]&amp;"--"&amp;Table4[[#This Row],[Field Intermediate Qualified Name]]</f>
        <v>kafka-cluster--beverage-event-topic--beverage-event--order_ml​</v>
      </c>
      <c r="O107" s="119"/>
      <c r="P107" s="116" t="s">
        <v>174</v>
      </c>
      <c r="Q107" s="118"/>
    </row>
    <row r="108" spans="1:17" x14ac:dyDescent="0.3">
      <c r="B108">
        <v>107</v>
      </c>
      <c r="C108" s="116" t="s">
        <v>175</v>
      </c>
      <c r="D108" s="117" t="s">
        <v>332</v>
      </c>
      <c r="E108" s="116" t="s">
        <v>494</v>
      </c>
      <c r="F108" s="118" t="str">
        <f t="shared" si="20"/>
        <v>kafka-cluster</v>
      </c>
      <c r="G108" s="116" t="s">
        <v>496</v>
      </c>
      <c r="H108" s="118" t="str">
        <f t="shared" si="21"/>
        <v>beverage-event-topic</v>
      </c>
      <c r="I108" s="119" t="s">
        <v>497</v>
      </c>
      <c r="J108" s="118" t="str">
        <f t="shared" si="22"/>
        <v>beverage-event</v>
      </c>
      <c r="K108" s="33" t="str">
        <f>Table4[[#This Row],[Intermediate Qualified System Name]]&amp;"--"&amp;Table4[[#This Row],[Collection Intermediate Qualified Name]]&amp;"--"&amp;Table4[[#This Row],[Dataset Intermediate Qualified Name]]</f>
        <v>kafka-cluster--beverage-event-topic--beverage-event</v>
      </c>
      <c r="L108" s="116" t="s">
        <v>456</v>
      </c>
      <c r="M108" s="118" t="str">
        <f t="shared" si="23"/>
        <v>order_strength​</v>
      </c>
      <c r="N108" s="33" t="str">
        <f>Table4[[#This Row],[Intermediate Qualified System Name]]&amp;"--"&amp;Table4[[#This Row],[Collection Intermediate Qualified Name]]&amp;"--"&amp;Table4[[#This Row],[Dataset Intermediate Qualified Name]]&amp;"--"&amp;Table4[[#This Row],[Field Intermediate Qualified Name]]</f>
        <v>kafka-cluster--beverage-event-topic--beverage-event--order_strength​</v>
      </c>
      <c r="O108" s="119"/>
      <c r="P108" s="116" t="s">
        <v>174</v>
      </c>
      <c r="Q108" s="118"/>
    </row>
    <row r="109" spans="1:17" x14ac:dyDescent="0.3">
      <c r="B109">
        <v>108</v>
      </c>
      <c r="C109" s="116" t="s">
        <v>177</v>
      </c>
      <c r="D109" s="117" t="s">
        <v>333</v>
      </c>
      <c r="E109" s="116" t="s">
        <v>494</v>
      </c>
      <c r="F109" s="118" t="str">
        <f t="shared" si="20"/>
        <v>kafka-cluster</v>
      </c>
      <c r="G109" s="116" t="s">
        <v>496</v>
      </c>
      <c r="H109" s="118" t="str">
        <f t="shared" si="21"/>
        <v>beverage-event-topic</v>
      </c>
      <c r="I109" s="119" t="s">
        <v>497</v>
      </c>
      <c r="J109" s="118" t="str">
        <f t="shared" si="22"/>
        <v>beverage-event</v>
      </c>
      <c r="K109" s="33" t="str">
        <f>Table4[[#This Row],[Intermediate Qualified System Name]]&amp;"--"&amp;Table4[[#This Row],[Collection Intermediate Qualified Name]]&amp;"--"&amp;Table4[[#This Row],[Dataset Intermediate Qualified Name]]</f>
        <v>kafka-cluster--beverage-event-topic--beverage-event</v>
      </c>
      <c r="L109" s="116" t="s">
        <v>457</v>
      </c>
      <c r="M109" s="118" t="str">
        <f t="shared" si="23"/>
        <v>order_etc​</v>
      </c>
      <c r="N109" s="33" t="str">
        <f>Table4[[#This Row],[Intermediate Qualified System Name]]&amp;"--"&amp;Table4[[#This Row],[Collection Intermediate Qualified Name]]&amp;"--"&amp;Table4[[#This Row],[Dataset Intermediate Qualified Name]]&amp;"--"&amp;Table4[[#This Row],[Field Intermediate Qualified Name]]</f>
        <v>kafka-cluster--beverage-event-topic--beverage-event--order_etc​</v>
      </c>
      <c r="O109" s="119"/>
      <c r="P109" s="116" t="s">
        <v>174</v>
      </c>
      <c r="Q109" s="118"/>
    </row>
    <row r="110" spans="1:17" x14ac:dyDescent="0.3">
      <c r="B110"/>
      <c r="D110"/>
      <c r="G110"/>
      <c r="L110"/>
      <c r="M110" s="33"/>
      <c r="N110" s="33"/>
    </row>
    <row r="111" spans="1:17" x14ac:dyDescent="0.3">
      <c r="B111"/>
      <c r="D111"/>
      <c r="G111"/>
      <c r="L111"/>
      <c r="M111" s="33"/>
      <c r="N111" s="33"/>
      <c r="P111"/>
    </row>
    <row r="112" spans="1:17" x14ac:dyDescent="0.3">
      <c r="B112"/>
      <c r="D112"/>
      <c r="G112"/>
      <c r="L112"/>
      <c r="M112" s="33"/>
      <c r="N112" s="33"/>
      <c r="P112"/>
    </row>
    <row r="113" spans="2:16" x14ac:dyDescent="0.3">
      <c r="B113"/>
      <c r="D113"/>
      <c r="G113"/>
      <c r="L113"/>
      <c r="M113" s="33"/>
      <c r="N113" s="33"/>
      <c r="P113"/>
    </row>
    <row r="114" spans="2:16" x14ac:dyDescent="0.3">
      <c r="B114"/>
      <c r="D114"/>
      <c r="G114"/>
      <c r="L114"/>
      <c r="M114" s="33"/>
      <c r="N114" s="33"/>
      <c r="P114"/>
    </row>
    <row r="115" spans="2:16" x14ac:dyDescent="0.3">
      <c r="B115"/>
      <c r="D115"/>
      <c r="G115"/>
      <c r="L115"/>
      <c r="M115" s="33"/>
      <c r="N115" s="33"/>
      <c r="P115"/>
    </row>
    <row r="116" spans="2:16" x14ac:dyDescent="0.3">
      <c r="B116"/>
      <c r="G116"/>
      <c r="M116" s="33"/>
      <c r="N116" s="33"/>
    </row>
    <row r="117" spans="2:16" x14ac:dyDescent="0.3">
      <c r="B117"/>
      <c r="D117"/>
      <c r="L117"/>
      <c r="M117" s="33"/>
      <c r="N117" s="33"/>
      <c r="P117"/>
    </row>
    <row r="118" spans="2:16" x14ac:dyDescent="0.3">
      <c r="B118"/>
      <c r="D118"/>
      <c r="L118"/>
      <c r="M118" s="33"/>
      <c r="N118" s="33"/>
      <c r="P118"/>
    </row>
    <row r="119" spans="2:16" x14ac:dyDescent="0.3">
      <c r="B119"/>
      <c r="D119"/>
      <c r="L119"/>
      <c r="M119" s="33"/>
      <c r="N119" s="33"/>
      <c r="P119"/>
    </row>
    <row r="120" spans="2:16" x14ac:dyDescent="0.3">
      <c r="B120"/>
      <c r="D120"/>
      <c r="L120"/>
      <c r="M120" s="33"/>
      <c r="N120" s="33"/>
      <c r="P120"/>
    </row>
    <row r="121" spans="2:16" x14ac:dyDescent="0.3">
      <c r="B121"/>
      <c r="D121"/>
      <c r="L121"/>
      <c r="M121" s="33"/>
      <c r="N121" s="33"/>
      <c r="P121"/>
    </row>
    <row r="122" spans="2:16" x14ac:dyDescent="0.3">
      <c r="B122"/>
      <c r="M122" s="33"/>
      <c r="N122" s="33"/>
    </row>
    <row r="123" spans="2:16" x14ac:dyDescent="0.3">
      <c r="B123" s="109"/>
      <c r="M123" s="33"/>
      <c r="N123" s="33"/>
    </row>
    <row r="124" spans="2:16" x14ac:dyDescent="0.3">
      <c r="B124" s="109"/>
      <c r="M124" s="33"/>
      <c r="N124" s="33"/>
    </row>
    <row r="125" spans="2:16" x14ac:dyDescent="0.3">
      <c r="B125" s="109"/>
      <c r="M125" s="33"/>
      <c r="N125" s="33"/>
    </row>
    <row r="126" spans="2:16" x14ac:dyDescent="0.3">
      <c r="B126" s="109"/>
      <c r="M126" s="33"/>
      <c r="N126" s="33"/>
    </row>
    <row r="127" spans="2:16" x14ac:dyDescent="0.3">
      <c r="B127" s="109"/>
      <c r="M127" s="33"/>
      <c r="N127" s="33"/>
    </row>
    <row r="128" spans="2:16" x14ac:dyDescent="0.3">
      <c r="B128" s="109"/>
      <c r="M128" s="33"/>
      <c r="N128" s="33"/>
    </row>
    <row r="129" spans="2:14" x14ac:dyDescent="0.3">
      <c r="B129" s="109"/>
      <c r="M129" s="33"/>
      <c r="N129" s="33"/>
    </row>
    <row r="130" spans="2:14" x14ac:dyDescent="0.3">
      <c r="B130" s="109"/>
      <c r="M130" s="33"/>
      <c r="N130" s="33"/>
    </row>
    <row r="131" spans="2:14" x14ac:dyDescent="0.3">
      <c r="B131" s="109"/>
      <c r="M131" s="33"/>
      <c r="N131" s="33"/>
    </row>
    <row r="132" spans="2:14" x14ac:dyDescent="0.3">
      <c r="B132" s="109"/>
      <c r="M132" s="33"/>
      <c r="N132" s="33"/>
    </row>
    <row r="133" spans="2:14" x14ac:dyDescent="0.3">
      <c r="B133" s="109"/>
      <c r="M133" s="33"/>
      <c r="N133" s="33"/>
    </row>
    <row r="134" spans="2:14" x14ac:dyDescent="0.3">
      <c r="B134" s="109"/>
      <c r="M134" s="33"/>
      <c r="N134" s="33"/>
    </row>
    <row r="135" spans="2:14" x14ac:dyDescent="0.3">
      <c r="B135" s="109"/>
      <c r="M135" s="33"/>
      <c r="N135" s="33"/>
    </row>
    <row r="136" spans="2:14" x14ac:dyDescent="0.3">
      <c r="B136" s="110"/>
      <c r="M136" s="33"/>
      <c r="N136" s="33"/>
    </row>
  </sheetData>
  <phoneticPr fontId="3" type="noConversion"/>
  <dataValidations count="3">
    <dataValidation type="list" allowBlank="1" showInputMessage="1" showErrorMessage="1" sqref="Q2:Q136" xr:uid="{936963CD-63A4-4152-9549-F7D0C1F3BC82}">
      <formula1>"Yes,No"</formula1>
    </dataValidation>
    <dataValidation allowBlank="1" showInputMessage="1" showErrorMessage="1" sqref="I90:I109" xr:uid="{64E94D29-F0B5-4C38-8208-834A3B98FA46}"/>
    <dataValidation type="list" allowBlank="1" showInputMessage="1" showErrorMessage="1" sqref="P90:P109" xr:uid="{DA5AA9CF-1057-4CE5-A6D0-4264E4995883}">
      <formula1>"Numeric, Text, Date"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4060D669-C9CB-41DB-9B53-2A4D7BA31657}">
          <x14:formula1>
            <xm:f>'3. L3 Data Attributes'!$H:$H</xm:f>
          </x14:formula1>
          <xm:sqref>D2:D89 D110:D136</xm:sqref>
        </x14:dataValidation>
        <x14:dataValidation type="list" allowBlank="1" showInputMessage="1" showErrorMessage="1" xr:uid="{4D24E730-4306-416E-B93F-FF57B371FB87}">
          <x14:formula1>
            <xm:f>'7. Define sys, collect. &amp; datas'!$B$3:$B$1048576</xm:f>
          </x14:formula1>
          <xm:sqref>E2:E89 E110:E136</xm:sqref>
        </x14:dataValidation>
        <x14:dataValidation type="list" allowBlank="1" showInputMessage="1" showErrorMessage="1" xr:uid="{F15092A8-4ADA-4741-85B9-22B75E1B91D6}">
          <x14:formula1>
            <xm:f>'7. Define sys, collect. &amp; datas'!$C$3:$C$1048576</xm:f>
          </x14:formula1>
          <xm:sqref>G135:G1048576</xm:sqref>
        </x14:dataValidation>
        <x14:dataValidation type="list" allowBlank="1" showInputMessage="1" showErrorMessage="1" xr:uid="{4826531B-BA3B-47F8-BF34-0D516D057769}">
          <x14:formula1>
            <xm:f>'7. Define sys, collect. &amp; datas'!$D:$D</xm:f>
          </x14:formula1>
          <xm:sqref>I1:I89 I110:I1048576</xm:sqref>
        </x14:dataValidation>
        <x14:dataValidation type="list" allowBlank="1" showInputMessage="1" showErrorMessage="1" xr:uid="{007FCC87-B40F-4636-9E88-49FC9BC149C8}">
          <x14:formula1>
            <xm:f>'3. L3 Data Attributes'!$E$2:E922</xm:f>
          </x14:formula1>
          <xm:sqref>C2:C49</xm:sqref>
        </x14:dataValidation>
        <x14:dataValidation type="list" allowBlank="1" showInputMessage="1" showErrorMessage="1" xr:uid="{9BBF9F5E-7FDB-4FC4-A069-3CFB14C93264}">
          <x14:formula1>
            <xm:f>'7. Define sys, collect. &amp; datas'!$C:$C</xm:f>
          </x14:formula1>
          <xm:sqref>G1:G89 G110:G134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FA7A-7427-4B99-81C5-3E58DE27B7E1}">
  <sheetPr codeName="Sheet9"/>
  <dimension ref="A1:G3"/>
  <sheetViews>
    <sheetView zoomScale="70" zoomScaleNormal="70" workbookViewId="0">
      <selection activeCell="A4" sqref="A4"/>
    </sheetView>
  </sheetViews>
  <sheetFormatPr defaultRowHeight="14.4" x14ac:dyDescent="0.3"/>
  <cols>
    <col min="1" max="1" width="5.6640625" bestFit="1" customWidth="1"/>
    <col min="5" max="5" width="43.6640625" style="72" bestFit="1" customWidth="1"/>
    <col min="6" max="6" width="32.33203125" style="72" bestFit="1" customWidth="1"/>
  </cols>
  <sheetData>
    <row r="1" spans="1:7" x14ac:dyDescent="0.3">
      <c r="A1" t="s">
        <v>15</v>
      </c>
      <c r="B1" t="s">
        <v>76</v>
      </c>
      <c r="C1" t="s">
        <v>87</v>
      </c>
      <c r="D1" t="s">
        <v>89</v>
      </c>
      <c r="E1" t="s">
        <v>500</v>
      </c>
      <c r="F1" t="s">
        <v>91</v>
      </c>
      <c r="G1" t="s">
        <v>23</v>
      </c>
    </row>
    <row r="2" spans="1:7" x14ac:dyDescent="0.3">
      <c r="A2">
        <v>1</v>
      </c>
    </row>
    <row r="3" spans="1:7" x14ac:dyDescent="0.3">
      <c r="A3">
        <v>2</v>
      </c>
    </row>
  </sheetData>
  <conditionalFormatting sqref="C2:C1048576">
    <cfRule type="expression" dxfId="1" priority="1">
      <formula>#REF!="No"</formula>
    </cfRule>
  </conditionalFormatting>
  <conditionalFormatting sqref="C2:G1048576">
    <cfRule type="expression" dxfId="0" priority="8">
      <formula>#REF!="No"</formula>
    </cfRule>
  </conditionalFormatting>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F5906D2-F44E-48B3-8514-0BB55B45BDBA}">
          <x14:formula1>
            <xm:f>'4. L4 Fields'!$N$2:$N$23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0FF0-66CA-4678-955A-D857ED26081D}">
  <sheetPr codeName="Sheet11"/>
  <dimension ref="B1:D27"/>
  <sheetViews>
    <sheetView zoomScale="80" zoomScaleNormal="80" workbookViewId="0">
      <selection activeCell="C17" sqref="C17"/>
    </sheetView>
  </sheetViews>
  <sheetFormatPr defaultRowHeight="14.4" x14ac:dyDescent="0.3"/>
  <cols>
    <col min="2" max="2" width="32.33203125" bestFit="1" customWidth="1"/>
    <col min="3" max="3" width="43.88671875" bestFit="1" customWidth="1"/>
    <col min="4" max="4" width="63.33203125" bestFit="1" customWidth="1"/>
  </cols>
  <sheetData>
    <row r="1" spans="2:4" x14ac:dyDescent="0.3">
      <c r="B1" t="s">
        <v>501</v>
      </c>
      <c r="C1" t="s">
        <v>502</v>
      </c>
      <c r="D1" t="s">
        <v>503</v>
      </c>
    </row>
    <row r="2" spans="2:4" x14ac:dyDescent="0.3">
      <c r="B2" t="s">
        <v>326</v>
      </c>
      <c r="C2" t="s">
        <v>327</v>
      </c>
      <c r="D2" t="s">
        <v>328</v>
      </c>
    </row>
    <row r="3" spans="2:4" x14ac:dyDescent="0.3">
      <c r="B3" s="79" t="s">
        <v>326</v>
      </c>
      <c r="C3" t="s">
        <v>337</v>
      </c>
      <c r="D3" t="s">
        <v>338</v>
      </c>
    </row>
    <row r="4" spans="2:4" x14ac:dyDescent="0.3">
      <c r="B4" t="s">
        <v>326</v>
      </c>
      <c r="C4" t="s">
        <v>347</v>
      </c>
      <c r="D4" t="s">
        <v>348</v>
      </c>
    </row>
    <row r="5" spans="2:4" x14ac:dyDescent="0.3">
      <c r="B5" t="s">
        <v>326</v>
      </c>
      <c r="C5" t="s">
        <v>358</v>
      </c>
      <c r="D5" t="s">
        <v>359</v>
      </c>
    </row>
    <row r="6" spans="2:4" x14ac:dyDescent="0.3">
      <c r="B6" t="s">
        <v>326</v>
      </c>
      <c r="C6" t="s">
        <v>363</v>
      </c>
      <c r="D6" t="s">
        <v>364</v>
      </c>
    </row>
    <row r="7" spans="2:4" x14ac:dyDescent="0.3">
      <c r="B7" t="s">
        <v>326</v>
      </c>
      <c r="C7" t="s">
        <v>378</v>
      </c>
      <c r="D7" t="s">
        <v>379</v>
      </c>
    </row>
    <row r="8" spans="2:4" x14ac:dyDescent="0.3">
      <c r="B8" t="s">
        <v>326</v>
      </c>
      <c r="C8" t="s">
        <v>390</v>
      </c>
      <c r="D8" t="s">
        <v>391</v>
      </c>
    </row>
    <row r="9" spans="2:4" x14ac:dyDescent="0.3">
      <c r="B9" t="s">
        <v>326</v>
      </c>
      <c r="C9" t="s">
        <v>393</v>
      </c>
      <c r="D9" t="s">
        <v>394</v>
      </c>
    </row>
    <row r="10" spans="2:4" x14ac:dyDescent="0.3">
      <c r="B10" t="s">
        <v>326</v>
      </c>
      <c r="C10" t="s">
        <v>396</v>
      </c>
      <c r="D10" t="s">
        <v>397</v>
      </c>
    </row>
    <row r="11" spans="2:4" x14ac:dyDescent="0.3">
      <c r="B11" t="s">
        <v>402</v>
      </c>
      <c r="C11" t="s">
        <v>419</v>
      </c>
      <c r="D11" t="s">
        <v>404</v>
      </c>
    </row>
    <row r="12" spans="2:4" x14ac:dyDescent="0.3">
      <c r="B12" t="s">
        <v>402</v>
      </c>
      <c r="C12" t="s">
        <v>419</v>
      </c>
      <c r="D12" t="s">
        <v>405</v>
      </c>
    </row>
    <row r="13" spans="2:4" x14ac:dyDescent="0.3">
      <c r="B13" t="s">
        <v>402</v>
      </c>
      <c r="C13" t="s">
        <v>419</v>
      </c>
      <c r="D13" t="s">
        <v>407</v>
      </c>
    </row>
    <row r="14" spans="2:4" x14ac:dyDescent="0.3">
      <c r="B14" t="s">
        <v>402</v>
      </c>
      <c r="C14" t="s">
        <v>419</v>
      </c>
      <c r="D14" t="s">
        <v>412</v>
      </c>
    </row>
    <row r="15" spans="2:4" x14ac:dyDescent="0.3">
      <c r="B15" t="s">
        <v>402</v>
      </c>
      <c r="C15" t="s">
        <v>415</v>
      </c>
      <c r="D15" t="s">
        <v>416</v>
      </c>
    </row>
    <row r="16" spans="2:4" x14ac:dyDescent="0.3">
      <c r="B16" t="s">
        <v>402</v>
      </c>
      <c r="C16" t="s">
        <v>419</v>
      </c>
      <c r="D16" t="s">
        <v>420</v>
      </c>
    </row>
    <row r="17" spans="2:4" x14ac:dyDescent="0.3">
      <c r="B17" t="s">
        <v>402</v>
      </c>
      <c r="C17" t="s">
        <v>419</v>
      </c>
      <c r="D17" t="s">
        <v>423</v>
      </c>
    </row>
    <row r="18" spans="2:4" x14ac:dyDescent="0.3">
      <c r="B18" t="s">
        <v>326</v>
      </c>
      <c r="C18" t="s">
        <v>425</v>
      </c>
      <c r="D18" t="s">
        <v>423</v>
      </c>
    </row>
    <row r="19" spans="2:4" x14ac:dyDescent="0.3">
      <c r="B19" t="s">
        <v>402</v>
      </c>
      <c r="C19" t="s">
        <v>419</v>
      </c>
      <c r="D19" t="s">
        <v>428</v>
      </c>
    </row>
    <row r="20" spans="2:4" x14ac:dyDescent="0.3">
      <c r="B20" t="s">
        <v>402</v>
      </c>
      <c r="C20" t="s">
        <v>419</v>
      </c>
      <c r="D20" t="s">
        <v>431</v>
      </c>
    </row>
    <row r="21" spans="2:4" x14ac:dyDescent="0.3">
      <c r="B21" t="s">
        <v>402</v>
      </c>
      <c r="C21" t="s">
        <v>415</v>
      </c>
      <c r="D21" t="s">
        <v>416</v>
      </c>
    </row>
    <row r="22" spans="2:4" x14ac:dyDescent="0.3">
      <c r="B22" t="s">
        <v>402</v>
      </c>
      <c r="C22" t="s">
        <v>419</v>
      </c>
      <c r="D22" t="s">
        <v>437</v>
      </c>
    </row>
    <row r="23" spans="2:4" x14ac:dyDescent="0.3">
      <c r="B23" t="s">
        <v>447</v>
      </c>
      <c r="C23" t="s">
        <v>448</v>
      </c>
      <c r="D23" t="s">
        <v>449</v>
      </c>
    </row>
    <row r="24" spans="2:4" x14ac:dyDescent="0.3">
      <c r="B24" t="s">
        <v>402</v>
      </c>
      <c r="C24" t="s">
        <v>419</v>
      </c>
      <c r="D24" t="s">
        <v>465</v>
      </c>
    </row>
    <row r="25" spans="2:4" x14ac:dyDescent="0.3">
      <c r="B25" t="s">
        <v>402</v>
      </c>
      <c r="C25" t="s">
        <v>419</v>
      </c>
      <c r="D25" t="s">
        <v>473</v>
      </c>
    </row>
    <row r="26" spans="2:4" x14ac:dyDescent="0.3">
      <c r="B26" t="s">
        <v>494</v>
      </c>
      <c r="C26" t="s">
        <v>495</v>
      </c>
      <c r="D26" t="s">
        <v>473</v>
      </c>
    </row>
    <row r="27" spans="2:4" x14ac:dyDescent="0.3">
      <c r="B27" t="s">
        <v>494</v>
      </c>
      <c r="C27" t="s">
        <v>496</v>
      </c>
      <c r="D27" t="s">
        <v>497</v>
      </c>
    </row>
  </sheetData>
  <phoneticPr fontId="3" type="noConversion"/>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B7168-32BF-49E6-87EC-4437B174716E}">
  <sheetPr codeName="Sheet10"/>
  <dimension ref="B1:L52"/>
  <sheetViews>
    <sheetView zoomScale="63" zoomScaleNormal="50" workbookViewId="0">
      <selection activeCell="F21" sqref="F21"/>
    </sheetView>
  </sheetViews>
  <sheetFormatPr defaultColWidth="8.6640625" defaultRowHeight="14.4" x14ac:dyDescent="0.3"/>
  <cols>
    <col min="2" max="4" width="8.88671875"/>
    <col min="5" max="5" width="21.5546875" style="65" customWidth="1"/>
    <col min="6" max="6" width="82.33203125" style="77" customWidth="1"/>
    <col min="7" max="7" width="22.5546875" style="77" customWidth="1"/>
    <col min="8" max="8" width="15.33203125" style="73" customWidth="1"/>
    <col min="9" max="9" width="44.5546875" style="78" bestFit="1" customWidth="1"/>
    <col min="10" max="10" width="7.6640625" style="73" customWidth="1"/>
    <col min="11" max="11" width="8.88671875"/>
    <col min="12" max="12" width="9.33203125" style="31"/>
  </cols>
  <sheetData>
    <row r="1" spans="2:11" x14ac:dyDescent="0.3">
      <c r="B1" t="s">
        <v>15</v>
      </c>
      <c r="C1" t="s">
        <v>76</v>
      </c>
      <c r="D1" t="s">
        <v>504</v>
      </c>
      <c r="E1" t="s">
        <v>98</v>
      </c>
      <c r="F1" t="s">
        <v>100</v>
      </c>
      <c r="G1" t="s">
        <v>102</v>
      </c>
      <c r="H1" t="s">
        <v>104</v>
      </c>
      <c r="I1" t="s">
        <v>106</v>
      </c>
      <c r="J1" t="s">
        <v>108</v>
      </c>
      <c r="K1" t="s">
        <v>110</v>
      </c>
    </row>
    <row r="2" spans="2:11" x14ac:dyDescent="0.3">
      <c r="F2"/>
      <c r="G2"/>
      <c r="I2"/>
      <c r="J2"/>
    </row>
    <row r="3" spans="2:11" x14ac:dyDescent="0.3">
      <c r="F3"/>
      <c r="G3"/>
      <c r="I3"/>
      <c r="J3"/>
    </row>
    <row r="4" spans="2:11" x14ac:dyDescent="0.3">
      <c r="E4" s="31"/>
      <c r="F4"/>
      <c r="G4"/>
      <c r="H4" s="74"/>
      <c r="I4"/>
      <c r="J4"/>
    </row>
    <row r="5" spans="2:11" x14ac:dyDescent="0.3">
      <c r="E5" s="31"/>
      <c r="F5"/>
      <c r="G5"/>
      <c r="H5" s="74"/>
      <c r="I5"/>
      <c r="J5"/>
    </row>
    <row r="6" spans="2:11" x14ac:dyDescent="0.3">
      <c r="F6"/>
      <c r="G6"/>
      <c r="I6"/>
      <c r="J6"/>
    </row>
    <row r="7" spans="2:11" x14ac:dyDescent="0.3">
      <c r="F7"/>
      <c r="G7"/>
      <c r="I7"/>
      <c r="J7"/>
    </row>
    <row r="8" spans="2:11" x14ac:dyDescent="0.3">
      <c r="E8" s="31"/>
      <c r="F8"/>
      <c r="G8"/>
      <c r="H8" s="74"/>
      <c r="I8"/>
      <c r="J8"/>
    </row>
    <row r="9" spans="2:11" x14ac:dyDescent="0.3">
      <c r="E9" s="31"/>
      <c r="F9"/>
      <c r="G9"/>
      <c r="H9" s="74"/>
      <c r="I9"/>
      <c r="J9"/>
    </row>
    <row r="10" spans="2:11" x14ac:dyDescent="0.3">
      <c r="F10"/>
      <c r="G10"/>
      <c r="I10"/>
      <c r="J10"/>
    </row>
    <row r="11" spans="2:11" x14ac:dyDescent="0.3">
      <c r="F11"/>
      <c r="G11"/>
      <c r="I11"/>
      <c r="J11"/>
    </row>
    <row r="12" spans="2:11" x14ac:dyDescent="0.3">
      <c r="E12" s="31"/>
      <c r="F12"/>
      <c r="G12"/>
      <c r="H12" s="74"/>
      <c r="I12"/>
      <c r="J12"/>
    </row>
    <row r="13" spans="2:11" x14ac:dyDescent="0.3">
      <c r="E13" s="31"/>
      <c r="F13"/>
      <c r="G13"/>
      <c r="H13" s="74"/>
      <c r="I13"/>
      <c r="J13"/>
    </row>
    <row r="14" spans="2:11" x14ac:dyDescent="0.3">
      <c r="E14" s="31"/>
      <c r="F14"/>
      <c r="G14"/>
      <c r="H14" s="74"/>
      <c r="I14"/>
      <c r="J14"/>
    </row>
    <row r="15" spans="2:11" x14ac:dyDescent="0.3">
      <c r="E15" s="31"/>
      <c r="F15"/>
      <c r="G15"/>
      <c r="H15" s="74"/>
      <c r="I15"/>
      <c r="J15"/>
    </row>
    <row r="16" spans="2:11" x14ac:dyDescent="0.3">
      <c r="F16"/>
      <c r="G16"/>
      <c r="I16"/>
      <c r="J16"/>
    </row>
    <row r="17" spans="5:10" x14ac:dyDescent="0.3">
      <c r="E17" s="31"/>
      <c r="F17"/>
      <c r="G17"/>
      <c r="H17" s="74"/>
      <c r="I17"/>
      <c r="J17"/>
    </row>
    <row r="18" spans="5:10" x14ac:dyDescent="0.3">
      <c r="F18"/>
      <c r="G18"/>
      <c r="I18"/>
      <c r="J18"/>
    </row>
    <row r="19" spans="5:10" x14ac:dyDescent="0.3">
      <c r="F19"/>
      <c r="G19"/>
      <c r="I19"/>
      <c r="J19"/>
    </row>
    <row r="20" spans="5:10" x14ac:dyDescent="0.3">
      <c r="E20" s="31"/>
      <c r="F20"/>
      <c r="G20"/>
      <c r="H20" s="74"/>
      <c r="I20"/>
      <c r="J20"/>
    </row>
    <row r="21" spans="5:10" x14ac:dyDescent="0.3">
      <c r="E21" s="31"/>
      <c r="F21"/>
      <c r="G21"/>
      <c r="H21" s="74"/>
      <c r="I21"/>
      <c r="J21"/>
    </row>
    <row r="22" spans="5:10" x14ac:dyDescent="0.3">
      <c r="E22" s="31"/>
      <c r="F22" s="63"/>
      <c r="G22"/>
      <c r="H22" s="74"/>
      <c r="I22"/>
      <c r="J22"/>
    </row>
    <row r="23" spans="5:10" x14ac:dyDescent="0.3">
      <c r="E23" s="31"/>
      <c r="F23"/>
      <c r="G23"/>
      <c r="H23" s="74"/>
      <c r="I23"/>
      <c r="J23"/>
    </row>
    <row r="24" spans="5:10" x14ac:dyDescent="0.3">
      <c r="E24" s="31"/>
      <c r="F24"/>
      <c r="G24"/>
      <c r="H24" s="74"/>
      <c r="I24"/>
      <c r="J24"/>
    </row>
    <row r="25" spans="5:10" x14ac:dyDescent="0.3">
      <c r="E25" s="31"/>
      <c r="F25"/>
      <c r="G25"/>
      <c r="H25" s="74"/>
      <c r="I25"/>
      <c r="J25"/>
    </row>
    <row r="26" spans="5:10" x14ac:dyDescent="0.3">
      <c r="E26" s="31"/>
      <c r="F26"/>
      <c r="G26"/>
      <c r="H26" s="74"/>
      <c r="I26"/>
      <c r="J26"/>
    </row>
    <row r="27" spans="5:10" x14ac:dyDescent="0.3">
      <c r="E27" s="31"/>
      <c r="F27" s="63"/>
      <c r="G27"/>
      <c r="H27" s="74"/>
      <c r="I27"/>
      <c r="J27"/>
    </row>
    <row r="28" spans="5:10" x14ac:dyDescent="0.3">
      <c r="F28"/>
      <c r="G28"/>
      <c r="I28"/>
      <c r="J28"/>
    </row>
    <row r="29" spans="5:10" x14ac:dyDescent="0.3">
      <c r="E29" s="31"/>
      <c r="F29"/>
      <c r="G29"/>
      <c r="H29" s="74"/>
      <c r="I29"/>
      <c r="J29"/>
    </row>
    <row r="30" spans="5:10" x14ac:dyDescent="0.3">
      <c r="E30" s="31"/>
      <c r="F30"/>
      <c r="G30"/>
      <c r="H30" s="74"/>
      <c r="I30"/>
      <c r="J30"/>
    </row>
    <row r="31" spans="5:10" x14ac:dyDescent="0.3">
      <c r="E31" s="31"/>
      <c r="F31"/>
      <c r="G31"/>
      <c r="H31" s="74"/>
      <c r="I31"/>
      <c r="J31"/>
    </row>
    <row r="32" spans="5:10" x14ac:dyDescent="0.3">
      <c r="E32" s="31"/>
      <c r="F32"/>
      <c r="G32"/>
      <c r="H32" s="74"/>
      <c r="I32"/>
      <c r="J32"/>
    </row>
    <row r="33" spans="5:10" x14ac:dyDescent="0.3">
      <c r="F33"/>
      <c r="G33"/>
      <c r="I33"/>
      <c r="J33"/>
    </row>
    <row r="34" spans="5:10" x14ac:dyDescent="0.3">
      <c r="E34" s="31"/>
      <c r="F34"/>
      <c r="G34"/>
      <c r="H34" s="74"/>
      <c r="I34"/>
      <c r="J34"/>
    </row>
    <row r="35" spans="5:10" x14ac:dyDescent="0.3">
      <c r="E35" s="31"/>
      <c r="F35"/>
      <c r="G35"/>
      <c r="H35" s="74"/>
      <c r="I35"/>
      <c r="J35"/>
    </row>
    <row r="36" spans="5:10" x14ac:dyDescent="0.3">
      <c r="E36" s="31"/>
      <c r="F36"/>
      <c r="G36"/>
      <c r="H36" s="74"/>
      <c r="I36"/>
      <c r="J36"/>
    </row>
    <row r="37" spans="5:10" x14ac:dyDescent="0.3">
      <c r="E37" s="31"/>
      <c r="F37"/>
      <c r="G37"/>
      <c r="H37" s="74"/>
      <c r="I37"/>
      <c r="J37"/>
    </row>
    <row r="38" spans="5:10" x14ac:dyDescent="0.3">
      <c r="E38" s="31"/>
      <c r="F38"/>
      <c r="G38"/>
      <c r="H38" s="74"/>
      <c r="I38"/>
      <c r="J38"/>
    </row>
    <row r="39" spans="5:10" x14ac:dyDescent="0.3">
      <c r="E39" s="31"/>
      <c r="F39"/>
      <c r="G39"/>
      <c r="H39" s="74"/>
      <c r="I39"/>
      <c r="J39"/>
    </row>
    <row r="40" spans="5:10" x14ac:dyDescent="0.3">
      <c r="E40" s="31"/>
      <c r="F40"/>
      <c r="G40"/>
      <c r="H40" s="74"/>
      <c r="I40"/>
      <c r="J40"/>
    </row>
    <row r="41" spans="5:10" x14ac:dyDescent="0.3">
      <c r="E41" s="31"/>
      <c r="F41"/>
      <c r="G41"/>
      <c r="H41" s="74"/>
      <c r="I41"/>
      <c r="J41"/>
    </row>
    <row r="42" spans="5:10" x14ac:dyDescent="0.3">
      <c r="E42" s="31"/>
      <c r="F42"/>
      <c r="G42"/>
      <c r="H42" s="74"/>
      <c r="I42"/>
      <c r="J42"/>
    </row>
    <row r="43" spans="5:10" x14ac:dyDescent="0.3">
      <c r="F43"/>
      <c r="G43"/>
      <c r="I43"/>
      <c r="J43"/>
    </row>
    <row r="44" spans="5:10" x14ac:dyDescent="0.3">
      <c r="E44" s="31"/>
      <c r="F44"/>
      <c r="G44"/>
      <c r="H44" s="74"/>
      <c r="I44"/>
      <c r="J44"/>
    </row>
    <row r="45" spans="5:10" x14ac:dyDescent="0.3">
      <c r="E45" s="75"/>
      <c r="F45"/>
      <c r="G45"/>
      <c r="H45" s="76"/>
      <c r="I45"/>
      <c r="J45"/>
    </row>
    <row r="46" spans="5:10" x14ac:dyDescent="0.3">
      <c r="F46"/>
      <c r="G46"/>
      <c r="I46"/>
      <c r="J46"/>
    </row>
    <row r="47" spans="5:10" x14ac:dyDescent="0.3">
      <c r="E47" s="31"/>
      <c r="F47"/>
      <c r="G47"/>
      <c r="H47" s="74"/>
      <c r="I47"/>
      <c r="J47"/>
    </row>
    <row r="48" spans="5:10" x14ac:dyDescent="0.3">
      <c r="E48" s="75"/>
      <c r="F48"/>
      <c r="G48"/>
      <c r="H48" s="76"/>
      <c r="I48"/>
      <c r="J48"/>
    </row>
    <row r="49" spans="6:10" x14ac:dyDescent="0.3">
      <c r="F49"/>
      <c r="G49"/>
      <c r="I49"/>
      <c r="J49"/>
    </row>
    <row r="50" spans="6:10" x14ac:dyDescent="0.3">
      <c r="F50"/>
      <c r="G50"/>
      <c r="J50"/>
    </row>
    <row r="51" spans="6:10" x14ac:dyDescent="0.3">
      <c r="G51"/>
      <c r="J51"/>
    </row>
    <row r="52" spans="6:10" x14ac:dyDescent="0.3">
      <c r="G52"/>
      <c r="J52"/>
    </row>
  </sheetData>
  <dataValidations count="6">
    <dataValidation type="list" allowBlank="1" showInputMessage="1" showErrorMessage="1" sqref="G2:G6 G8:G12 G18 G20:G22 G24:G25 G27 G32 G40:G42 G44:G45 G29:G30 G14:G16 G34:G38 G47:G1048576" xr:uid="{58FC7360-8A07-4FA0-9847-02C8F920F38D}">
      <formula1>"Completeness,Consistency,Accuracy,Timeliness,Uniqueness,Validity"</formula1>
    </dataValidation>
    <dataValidation type="list" allowBlank="1" showInputMessage="1" showErrorMessage="1" sqref="G23 G13 G17 G19 G26 G28 G31 G33 G39 G43 G46" xr:uid="{DC2DC101-032B-416E-9DB9-08ECD17ECCAC}">
      <formula1>"Completeness,Consistency,Accuracy,Timeliness"</formula1>
    </dataValidation>
    <dataValidation type="list" allowBlank="1" showInputMessage="1" showErrorMessage="1" sqref="H2:H1048576" xr:uid="{6D8F9484-18CF-453A-9CC9-CDD434CD7C81}">
      <formula1>"Yes,No"</formula1>
    </dataValidation>
    <dataValidation type="list" allowBlank="1" showInputMessage="1" showErrorMessage="1" sqref="J2:J1048576" xr:uid="{53882271-1D36-4FA4-8D8A-AF3F6F61019A}">
      <formula1>"0,1"</formula1>
    </dataValidation>
    <dataValidation type="whole" allowBlank="1" showInputMessage="1" showErrorMessage="1" sqref="K2:K1048576" xr:uid="{9C21A2E6-A4AA-4606-A88C-94DAB2272E69}">
      <formula1>1</formula1>
      <formula2>999</formula2>
    </dataValidation>
    <dataValidation type="list" allowBlank="1" showInputMessage="1" showErrorMessage="1" sqref="C2:D1048576" xr:uid="{198E23CB-8828-46E1-9968-B586AFA321DD}"/>
  </dataValidation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4843C-C610-42E0-8DDA-47169D7979E0}">
  <sheetPr codeName="Sheet12"/>
  <dimension ref="B1:D11"/>
  <sheetViews>
    <sheetView workbookViewId="0">
      <selection activeCell="C21" sqref="C21"/>
    </sheetView>
  </sheetViews>
  <sheetFormatPr defaultRowHeight="14.4" x14ac:dyDescent="0.3"/>
  <cols>
    <col min="2" max="2" width="9.6640625" customWidth="1"/>
    <col min="3" max="3" width="32.6640625" bestFit="1" customWidth="1"/>
    <col min="4" max="4" width="37.6640625" bestFit="1" customWidth="1"/>
  </cols>
  <sheetData>
    <row r="1" spans="2:4" x14ac:dyDescent="0.3">
      <c r="B1" t="s">
        <v>15</v>
      </c>
      <c r="C1" t="s">
        <v>114</v>
      </c>
      <c r="D1" t="s">
        <v>116</v>
      </c>
    </row>
    <row r="2" spans="2:4" x14ac:dyDescent="0.3">
      <c r="D2" s="89"/>
    </row>
    <row r="3" spans="2:4" x14ac:dyDescent="0.3">
      <c r="D3" s="89"/>
    </row>
    <row r="4" spans="2:4" x14ac:dyDescent="0.3">
      <c r="D4" s="89"/>
    </row>
    <row r="5" spans="2:4" x14ac:dyDescent="0.3">
      <c r="D5" s="89"/>
    </row>
    <row r="6" spans="2:4" x14ac:dyDescent="0.3">
      <c r="D6" s="89"/>
    </row>
    <row r="7" spans="2:4" x14ac:dyDescent="0.3">
      <c r="D7" s="89"/>
    </row>
    <row r="8" spans="2:4" x14ac:dyDescent="0.3">
      <c r="D8" s="89"/>
    </row>
    <row r="9" spans="2:4" x14ac:dyDescent="0.3">
      <c r="D9" s="89"/>
    </row>
    <row r="10" spans="2:4" x14ac:dyDescent="0.3">
      <c r="D10" s="89"/>
    </row>
    <row r="11" spans="2:4" x14ac:dyDescent="0.3">
      <c r="D11" s="89"/>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50808-9CC6-4178-8585-B28AC44A9127}">
  <sheetPr codeName="Sheet13"/>
  <dimension ref="B1:L1"/>
  <sheetViews>
    <sheetView zoomScale="61" zoomScaleNormal="80" workbookViewId="0">
      <selection activeCell="K2" sqref="K2"/>
    </sheetView>
  </sheetViews>
  <sheetFormatPr defaultRowHeight="14.4" x14ac:dyDescent="0.3"/>
  <cols>
    <col min="3" max="3" width="55" bestFit="1" customWidth="1"/>
    <col min="6" max="6" width="65.6640625" bestFit="1" customWidth="1"/>
    <col min="9" max="9" width="93" bestFit="1" customWidth="1"/>
    <col min="12" max="12" width="41.5546875" bestFit="1" customWidth="1"/>
  </cols>
  <sheetData>
    <row r="1" spans="2:12" x14ac:dyDescent="0.3">
      <c r="B1" t="s">
        <v>15</v>
      </c>
      <c r="C1" t="s">
        <v>505</v>
      </c>
      <c r="E1" t="s">
        <v>15</v>
      </c>
      <c r="F1" t="s">
        <v>506</v>
      </c>
      <c r="H1" t="s">
        <v>15</v>
      </c>
      <c r="I1" t="s">
        <v>507</v>
      </c>
      <c r="K1" t="s">
        <v>15</v>
      </c>
      <c r="L1" t="s">
        <v>508</v>
      </c>
    </row>
  </sheetData>
  <pageMargins left="0.7" right="0.7" top="0.75" bottom="0.75" header="0.3" footer="0.3"/>
  <tableParts count="4">
    <tablePart r:id="rId1"/>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D60BE-ADCD-4C19-ADCC-DF28245C7CDE}">
  <sheetPr codeName="Sheet14"/>
  <dimension ref="B2:C34"/>
  <sheetViews>
    <sheetView zoomScale="70" zoomScaleNormal="70" workbookViewId="0">
      <selection activeCell="C10" sqref="C10"/>
    </sheetView>
  </sheetViews>
  <sheetFormatPr defaultRowHeight="14.4" x14ac:dyDescent="0.3"/>
  <cols>
    <col min="2" max="2" width="37.88671875" bestFit="1" customWidth="1"/>
    <col min="3" max="3" width="109.6640625" style="63" customWidth="1"/>
    <col min="7" max="7" width="29.33203125" bestFit="1" customWidth="1"/>
  </cols>
  <sheetData>
    <row r="2" spans="2:3" x14ac:dyDescent="0.3">
      <c r="B2" s="68" t="s">
        <v>74</v>
      </c>
      <c r="C2" s="71" t="s">
        <v>13</v>
      </c>
    </row>
    <row r="3" spans="2:3" x14ac:dyDescent="0.3">
      <c r="B3" s="66" t="s">
        <v>509</v>
      </c>
      <c r="C3" s="69"/>
    </row>
    <row r="4" spans="2:3" x14ac:dyDescent="0.3">
      <c r="B4" s="66" t="s">
        <v>510</v>
      </c>
      <c r="C4" s="69"/>
    </row>
    <row r="5" spans="2:3" x14ac:dyDescent="0.3">
      <c r="B5" s="66" t="s">
        <v>511</v>
      </c>
      <c r="C5" s="69"/>
    </row>
    <row r="6" spans="2:3" x14ac:dyDescent="0.3">
      <c r="B6" s="66" t="s">
        <v>512</v>
      </c>
      <c r="C6" s="70" t="s">
        <v>95</v>
      </c>
    </row>
    <row r="7" spans="2:3" x14ac:dyDescent="0.3">
      <c r="B7" s="66" t="s">
        <v>513</v>
      </c>
      <c r="C7" s="69"/>
    </row>
    <row r="8" spans="2:3" x14ac:dyDescent="0.3">
      <c r="B8" s="66" t="s">
        <v>514</v>
      </c>
      <c r="C8" s="63" t="s">
        <v>51</v>
      </c>
    </row>
    <row r="9" spans="2:3" x14ac:dyDescent="0.3">
      <c r="B9" s="66" t="s">
        <v>515</v>
      </c>
    </row>
    <row r="10" spans="2:3" ht="28.8" x14ac:dyDescent="0.3">
      <c r="B10" s="67" t="s">
        <v>516</v>
      </c>
      <c r="C10" s="63" t="s">
        <v>53</v>
      </c>
    </row>
    <row r="11" spans="2:3" x14ac:dyDescent="0.3">
      <c r="B11" s="66" t="s">
        <v>517</v>
      </c>
      <c r="C11" s="69"/>
    </row>
    <row r="12" spans="2:3" x14ac:dyDescent="0.3">
      <c r="B12" s="66" t="s">
        <v>518</v>
      </c>
      <c r="C12" t="s">
        <v>19</v>
      </c>
    </row>
    <row r="13" spans="2:3" x14ac:dyDescent="0.3">
      <c r="B13" s="66" t="s">
        <v>519</v>
      </c>
      <c r="C13"/>
    </row>
    <row r="14" spans="2:3" x14ac:dyDescent="0.3">
      <c r="B14" s="66" t="s">
        <v>520</v>
      </c>
      <c r="C14" t="s">
        <v>21</v>
      </c>
    </row>
    <row r="15" spans="2:3" x14ac:dyDescent="0.3">
      <c r="B15" s="66" t="s">
        <v>521</v>
      </c>
      <c r="C15" s="69"/>
    </row>
    <row r="16" spans="2:3" x14ac:dyDescent="0.3">
      <c r="B16" s="66" t="s">
        <v>522</v>
      </c>
      <c r="C16" t="s">
        <v>32</v>
      </c>
    </row>
    <row r="17" spans="2:3" x14ac:dyDescent="0.3">
      <c r="B17" s="66" t="s">
        <v>523</v>
      </c>
    </row>
    <row r="18" spans="2:3" ht="43.2" x14ac:dyDescent="0.3">
      <c r="B18" s="66" t="s">
        <v>524</v>
      </c>
      <c r="C18" s="63" t="s">
        <v>36</v>
      </c>
    </row>
    <row r="19" spans="2:3" x14ac:dyDescent="0.3">
      <c r="B19" s="66" t="s">
        <v>525</v>
      </c>
      <c r="C19" s="69"/>
    </row>
    <row r="20" spans="2:3" x14ac:dyDescent="0.3">
      <c r="B20" s="66" t="s">
        <v>526</v>
      </c>
      <c r="C20" t="s">
        <v>75</v>
      </c>
    </row>
    <row r="21" spans="2:3" x14ac:dyDescent="0.3">
      <c r="B21" s="66" t="s">
        <v>527</v>
      </c>
      <c r="C21" s="69"/>
    </row>
    <row r="22" spans="2:3" ht="28.8" x14ac:dyDescent="0.3">
      <c r="B22" s="66" t="s">
        <v>528</v>
      </c>
      <c r="C22" s="70" t="s">
        <v>96</v>
      </c>
    </row>
    <row r="23" spans="2:3" x14ac:dyDescent="0.3">
      <c r="B23" s="66" t="s">
        <v>529</v>
      </c>
      <c r="C23" s="69" t="s">
        <v>530</v>
      </c>
    </row>
    <row r="24" spans="2:3" x14ac:dyDescent="0.3">
      <c r="B24" s="66" t="s">
        <v>531</v>
      </c>
      <c r="C24" s="69"/>
    </row>
    <row r="25" spans="2:3" x14ac:dyDescent="0.3">
      <c r="B25" s="66" t="s">
        <v>532</v>
      </c>
      <c r="C25" s="70" t="s">
        <v>107</v>
      </c>
    </row>
    <row r="26" spans="2:3" x14ac:dyDescent="0.3">
      <c r="B26" s="66" t="s">
        <v>533</v>
      </c>
      <c r="C26" s="70" t="s">
        <v>111</v>
      </c>
    </row>
    <row r="27" spans="2:3" x14ac:dyDescent="0.3">
      <c r="B27" s="66" t="s">
        <v>534</v>
      </c>
      <c r="C27" s="69"/>
    </row>
    <row r="28" spans="2:3" x14ac:dyDescent="0.3">
      <c r="B28" s="66" t="s">
        <v>535</v>
      </c>
      <c r="C28" s="69"/>
    </row>
    <row r="29" spans="2:3" x14ac:dyDescent="0.3">
      <c r="B29" s="66" t="s">
        <v>536</v>
      </c>
      <c r="C29" s="69"/>
    </row>
    <row r="30" spans="2:3" x14ac:dyDescent="0.3">
      <c r="B30" s="66" t="s">
        <v>537</v>
      </c>
      <c r="C30" s="69"/>
    </row>
    <row r="31" spans="2:3" x14ac:dyDescent="0.3">
      <c r="B31" s="66" t="s">
        <v>538</v>
      </c>
      <c r="C31" s="69"/>
    </row>
    <row r="32" spans="2:3" x14ac:dyDescent="0.3">
      <c r="B32" s="66" t="s">
        <v>539</v>
      </c>
      <c r="C32" s="69"/>
    </row>
    <row r="33" spans="2:3" x14ac:dyDescent="0.3">
      <c r="B33" s="66" t="s">
        <v>540</v>
      </c>
      <c r="C33" s="69"/>
    </row>
    <row r="34" spans="2:3" x14ac:dyDescent="0.3">
      <c r="B34" s="66" t="s">
        <v>541</v>
      </c>
      <c r="C34" s="69"/>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7F44A7A1-C6C3-4F0E-BED9-00DAD6F19956}">
          <x14:formula1>
            <xm:f>'1. L1 Data Domains'!$C$2:$C$2</xm:f>
          </x14:formula1>
          <xm:sqref>B9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76C22-6744-49AB-822A-9903687B7273}">
  <sheetPr codeName="Sheet15"/>
  <dimension ref="B1:Q11"/>
  <sheetViews>
    <sheetView topLeftCell="F1" zoomScale="90" zoomScaleNormal="90" workbookViewId="0">
      <selection activeCell="H24" sqref="H24"/>
    </sheetView>
  </sheetViews>
  <sheetFormatPr defaultRowHeight="14.4" x14ac:dyDescent="0.3"/>
  <cols>
    <col min="2" max="2" width="15.33203125" style="31" customWidth="1"/>
    <col min="3" max="3" width="20.88671875" style="31" bestFit="1" customWidth="1"/>
    <col min="4" max="4" width="20.44140625" style="33" customWidth="1"/>
    <col min="5" max="5" width="66.6640625" style="31" customWidth="1"/>
    <col min="6" max="6" width="47.88671875" style="31" bestFit="1" customWidth="1"/>
    <col min="7" max="7" width="76" style="31" bestFit="1" customWidth="1"/>
    <col min="8" max="8" width="60.109375" style="31" bestFit="1" customWidth="1"/>
    <col min="9" max="9" width="17.109375" style="31" customWidth="1"/>
    <col min="10" max="10" width="13.33203125" style="31" customWidth="1"/>
    <col min="11" max="11" width="20.6640625" style="31" customWidth="1"/>
    <col min="12" max="12" width="61.33203125" style="31" bestFit="1" customWidth="1"/>
    <col min="13" max="13" width="84.33203125" style="31" bestFit="1" customWidth="1"/>
    <col min="14" max="15" width="15.109375" style="31" hidden="1" customWidth="1"/>
    <col min="16" max="16" width="29.33203125" style="32" bestFit="1" customWidth="1"/>
    <col min="17" max="17" width="22.33203125" style="31" bestFit="1" customWidth="1"/>
  </cols>
  <sheetData>
    <row r="1" spans="2:17" x14ac:dyDescent="0.3">
      <c r="B1" t="s">
        <v>15</v>
      </c>
      <c r="C1" t="s">
        <v>68</v>
      </c>
      <c r="D1" s="31" t="s">
        <v>542</v>
      </c>
      <c r="E1" t="s">
        <v>543</v>
      </c>
      <c r="F1" s="31" t="s">
        <v>544</v>
      </c>
      <c r="G1" s="31" t="s">
        <v>545</v>
      </c>
      <c r="H1" s="31" t="s">
        <v>546</v>
      </c>
      <c r="I1" s="31" t="s">
        <v>547</v>
      </c>
      <c r="J1" s="31" t="s">
        <v>548</v>
      </c>
      <c r="K1" s="31" t="s">
        <v>549</v>
      </c>
      <c r="L1" s="31" t="s">
        <v>550</v>
      </c>
      <c r="M1" s="31" t="s">
        <v>551</v>
      </c>
      <c r="N1" s="31" t="s">
        <v>552</v>
      </c>
      <c r="O1" s="31" t="s">
        <v>553</v>
      </c>
      <c r="P1" t="s">
        <v>23</v>
      </c>
      <c r="Q1" t="s">
        <v>554</v>
      </c>
    </row>
    <row r="2" spans="2:17" x14ac:dyDescent="0.3">
      <c r="B2"/>
      <c r="C2"/>
      <c r="E2"/>
      <c r="F2" s="33"/>
      <c r="G2" s="33"/>
      <c r="I2" s="33"/>
      <c r="J2" s="33"/>
      <c r="K2" s="33"/>
      <c r="M2" s="33"/>
      <c r="N2" s="33"/>
      <c r="O2" s="33"/>
      <c r="Q2"/>
    </row>
    <row r="3" spans="2:17" x14ac:dyDescent="0.3">
      <c r="B3"/>
      <c r="C3"/>
      <c r="E3"/>
      <c r="F3" s="33"/>
      <c r="G3" s="33"/>
      <c r="I3" s="33"/>
      <c r="J3" s="33"/>
      <c r="K3" s="33"/>
      <c r="M3" s="33"/>
      <c r="N3" s="33"/>
      <c r="O3" s="33"/>
    </row>
    <row r="4" spans="2:17" x14ac:dyDescent="0.3">
      <c r="B4"/>
      <c r="C4"/>
      <c r="E4"/>
      <c r="F4" s="33"/>
      <c r="G4" s="33"/>
      <c r="I4" s="33"/>
      <c r="J4" s="33"/>
      <c r="K4" s="33"/>
      <c r="M4" s="33"/>
      <c r="N4" s="33"/>
      <c r="O4" s="33"/>
      <c r="Q4"/>
    </row>
    <row r="5" spans="2:17" x14ac:dyDescent="0.3">
      <c r="B5"/>
      <c r="C5"/>
      <c r="E5"/>
      <c r="F5" s="33"/>
      <c r="G5" s="33"/>
      <c r="I5" s="33"/>
      <c r="J5" s="33"/>
      <c r="K5" s="33"/>
      <c r="M5" s="33"/>
      <c r="N5" s="33"/>
      <c r="O5" s="33"/>
      <c r="Q5"/>
    </row>
    <row r="6" spans="2:17" x14ac:dyDescent="0.3">
      <c r="B6"/>
      <c r="C6"/>
      <c r="E6"/>
      <c r="F6" s="33"/>
      <c r="G6" s="33"/>
      <c r="I6" s="33"/>
      <c r="J6" s="33"/>
      <c r="K6" s="33"/>
      <c r="M6" s="33"/>
      <c r="N6" s="33"/>
      <c r="O6" s="33"/>
      <c r="Q6"/>
    </row>
    <row r="7" spans="2:17" x14ac:dyDescent="0.3">
      <c r="B7"/>
      <c r="C7"/>
      <c r="E7"/>
      <c r="F7" s="33"/>
      <c r="G7" s="33"/>
      <c r="H7" s="33"/>
      <c r="I7" s="33"/>
      <c r="J7" s="33"/>
      <c r="K7" s="33"/>
      <c r="L7" s="33"/>
      <c r="M7" s="33"/>
      <c r="N7" s="33"/>
      <c r="O7" s="33"/>
      <c r="P7"/>
      <c r="Q7"/>
    </row>
    <row r="8" spans="2:17" x14ac:dyDescent="0.3">
      <c r="B8"/>
      <c r="C8"/>
      <c r="E8"/>
      <c r="F8" s="33"/>
      <c r="G8" s="33"/>
      <c r="H8" s="33"/>
      <c r="I8" s="33"/>
      <c r="J8" s="33"/>
      <c r="K8" s="33"/>
      <c r="L8" s="33"/>
      <c r="M8" s="33"/>
      <c r="N8" s="33"/>
      <c r="O8" s="33"/>
      <c r="P8"/>
      <c r="Q8"/>
    </row>
    <row r="9" spans="2:17" x14ac:dyDescent="0.3">
      <c r="B9"/>
      <c r="C9"/>
      <c r="E9"/>
      <c r="F9" s="33"/>
      <c r="G9" s="33"/>
      <c r="H9" s="33"/>
      <c r="I9" s="33"/>
      <c r="J9" s="33"/>
      <c r="K9" s="33"/>
      <c r="L9" s="33"/>
      <c r="M9" s="33"/>
      <c r="N9" s="33"/>
      <c r="O9" s="33"/>
      <c r="P9"/>
      <c r="Q9"/>
    </row>
    <row r="10" spans="2:17" x14ac:dyDescent="0.3">
      <c r="B10"/>
      <c r="C10"/>
      <c r="E10"/>
      <c r="F10" s="33"/>
      <c r="G10" s="33"/>
      <c r="H10" s="33"/>
      <c r="I10" s="33"/>
      <c r="J10" s="33"/>
      <c r="K10" s="33"/>
      <c r="L10" s="33"/>
      <c r="M10" s="33"/>
      <c r="N10" s="33"/>
      <c r="O10" s="33"/>
      <c r="P10"/>
      <c r="Q10"/>
    </row>
    <row r="11" spans="2:17" x14ac:dyDescent="0.3">
      <c r="B11"/>
      <c r="C11"/>
      <c r="E11"/>
      <c r="F11" s="33"/>
      <c r="G11" s="33"/>
      <c r="H11" s="33"/>
      <c r="I11" s="33"/>
      <c r="J11" s="33"/>
      <c r="K11" s="33"/>
      <c r="L11" s="33"/>
      <c r="M11" s="33"/>
      <c r="N11" s="33"/>
      <c r="O11" s="33"/>
      <c r="P11"/>
      <c r="Q11"/>
    </row>
  </sheetData>
  <phoneticPr fontId="3" type="noConversion"/>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886CF44-BF2A-4D2D-AC93-C34B20A6C1BB}">
          <x14:formula1>
            <xm:f>'4. L4 Fields'!$K:$K</xm:f>
          </x14:formula1>
          <xm:sqref>I1:K1048576 M1:O1048576 H1 H7:H1048576 L1 L7:L1048576</xm:sqref>
        </x14:dataValidation>
        <x14:dataValidation type="list" allowBlank="1" showInputMessage="1" showErrorMessage="1" xr:uid="{6D54FF9D-F337-49FA-A896-2BBCE423FBB8}">
          <x14:formula1>
            <xm:f>'7. Define sys, collect. &amp; datas'!$B:$B</xm:f>
          </x14:formula1>
          <xm:sqref>C2:C1048576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937287B1E35314EBCD3663A462D7D81" ma:contentTypeVersion="25" ma:contentTypeDescription="Create a new document." ma:contentTypeScope="" ma:versionID="8948ce3b20184fe7a6ac8276c6cab809">
  <xsd:schema xmlns:xsd="http://www.w3.org/2001/XMLSchema" xmlns:xs="http://www.w3.org/2001/XMLSchema" xmlns:p="http://schemas.microsoft.com/office/2006/metadata/properties" xmlns:ns2="95a2761b-6bae-4427-bd46-7452e4749e80" xmlns:ns3="495e38a1-0c24-42a5-986a-c99f97b8ff82" xmlns:ns4="http://schemas.microsoft.com/sharepoint/v3/fields" targetNamespace="http://schemas.microsoft.com/office/2006/metadata/properties" ma:root="true" ma:fieldsID="b80d23fc610cd68fe89bc4c9d0baaef3" ns2:_="" ns3:_="" ns4:_="">
    <xsd:import namespace="95a2761b-6bae-4427-bd46-7452e4749e80"/>
    <xsd:import namespace="495e38a1-0c24-42a5-986a-c99f97b8ff82"/>
    <xsd:import namespace="http://schemas.microsoft.com/sharepoint/v3/fields"/>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OCR" minOccurs="0"/>
                <xsd:element ref="ns2:MediaServiceLocation" minOccurs="0"/>
                <xsd:element ref="ns2:Thumbnail" minOccurs="0"/>
                <xsd:element ref="ns2:Date" minOccurs="0"/>
                <xsd:element ref="ns3:_dlc_DocId" minOccurs="0"/>
                <xsd:element ref="ns3:_dlc_DocIdUrl" minOccurs="0"/>
                <xsd:element ref="ns3:_dlc_DocIdPersistId" minOccurs="0"/>
                <xsd:element ref="ns2:MediaLengthInSeconds" minOccurs="0"/>
                <xsd:element ref="ns2:_Flow_SignoffStatus" minOccurs="0"/>
                <xsd:element ref="ns2:lcf76f155ced4ddcb4097134ff3c332f" minOccurs="0"/>
                <xsd:element ref="ns3:TaxCatchAll" minOccurs="0"/>
                <xsd:element ref="ns2:DateandTime" minOccurs="0"/>
                <xsd:element ref="ns4:_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a2761b-6bae-4427-bd46-7452e4749e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Thumbnail" ma:index="20" nillable="true" ma:displayName="Thumbnail" ma:format="Dropdown" ma:internalName="Thumbnail">
      <xsd:simpleType>
        <xsd:restriction base="dms:Text">
          <xsd:maxLength value="255"/>
        </xsd:restriction>
      </xsd:simpleType>
    </xsd:element>
    <xsd:element name="Date" ma:index="21" nillable="true" ma:displayName="Date" ma:default="[today]" ma:format="DateTime" ma:internalName="Date">
      <xsd:simpleType>
        <xsd:restriction base="dms:DateTime"/>
      </xsd:simpleType>
    </xsd:element>
    <xsd:element name="MediaLengthInSeconds" ma:index="25" nillable="true" ma:displayName="Length (seconds)" ma:internalName="MediaLengthInSeconds" ma:readOnly="true">
      <xsd:simpleType>
        <xsd:restriction base="dms:Unknown"/>
      </xsd:simpleType>
    </xsd:element>
    <xsd:element name="_Flow_SignoffStatus" ma:index="26" nillable="true" ma:displayName="Sign-off status" ma:internalName="Sign_x002d_off_x0020_status">
      <xsd:simpleType>
        <xsd:restriction base="dms:Text"/>
      </xsd:simpleType>
    </xsd:element>
    <xsd:element name="lcf76f155ced4ddcb4097134ff3c332f" ma:index="28" nillable="true" ma:taxonomy="true" ma:internalName="lcf76f155ced4ddcb4097134ff3c332f" ma:taxonomyFieldName="MediaServiceImageTags" ma:displayName="Image Tags" ma:readOnly="false" ma:fieldId="{5cf76f15-5ced-4ddc-b409-7134ff3c332f}" ma:taxonomyMulti="true" ma:sspId="a182fb04-b9eb-4821-92b6-a9629e2360a8" ma:termSetId="09814cd3-568e-fe90-9814-8d621ff8fb84" ma:anchorId="fba54fb3-c3e1-fe81-a776-ca4b69148c4d" ma:open="true" ma:isKeyword="false">
      <xsd:complexType>
        <xsd:sequence>
          <xsd:element ref="pc:Terms" minOccurs="0" maxOccurs="1"/>
        </xsd:sequence>
      </xsd:complexType>
    </xsd:element>
    <xsd:element name="DateandTime" ma:index="30" nillable="true" ma:displayName="Date and Time" ma:format="DateOnly" ma:internalName="DateandTim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495e38a1-0c24-42a5-986a-c99f97b8ff8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_dlc_DocId" ma:index="22" nillable="true" ma:displayName="Document ID Value" ma:description="The value of the document ID assigned to this item." ma:internalName="_dlc_DocId" ma:readOnly="true">
      <xsd:simpleType>
        <xsd:restriction base="dms:Text"/>
      </xsd:simpleType>
    </xsd:element>
    <xsd:element name="_dlc_DocIdUrl" ma:index="23"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4" nillable="true" ma:displayName="Persist ID" ma:description="Keep ID on add." ma:hidden="true" ma:internalName="_dlc_DocIdPersistId" ma:readOnly="true">
      <xsd:simpleType>
        <xsd:restriction base="dms:Boolean"/>
      </xsd:simpleType>
    </xsd:element>
    <xsd:element name="TaxCatchAll" ma:index="29" nillable="true" ma:displayName="Taxonomy Catch All Column" ma:hidden="true" ma:list="{7239f4e1-abeb-4203-95fd-838d7b86d8d5}" ma:internalName="TaxCatchAll" ma:showField="CatchAllData" ma:web="495e38a1-0c24-42a5-986a-c99f97b8ff8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31"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Version xmlns="http://schemas.microsoft.com/sharepoint/v3/fields" xsi:nil="true"/>
    <lcf76f155ced4ddcb4097134ff3c332f xmlns="95a2761b-6bae-4427-bd46-7452e4749e80">
      <Terms xmlns="http://schemas.microsoft.com/office/infopath/2007/PartnerControls"/>
    </lcf76f155ced4ddcb4097134ff3c332f>
    <DateandTime xmlns="95a2761b-6bae-4427-bd46-7452e4749e80" xsi:nil="true"/>
    <_Flow_SignoffStatus xmlns="95a2761b-6bae-4427-bd46-7452e4749e80" xsi:nil="true"/>
    <Thumbnail xmlns="95a2761b-6bae-4427-bd46-7452e4749e80" xsi:nil="true"/>
    <TaxCatchAll xmlns="495e38a1-0c24-42a5-986a-c99f97b8ff82" xsi:nil="true"/>
    <Date xmlns="95a2761b-6bae-4427-bd46-7452e4749e80">2023-04-07T13:52:21+00:00</Date>
    <_dlc_DocId xmlns="495e38a1-0c24-42a5-986a-c99f97b8ff82">S7HYFVCAMCHH-1067288026-5953666</_dlc_DocId>
    <_dlc_DocIdUrl xmlns="495e38a1-0c24-42a5-986a-c99f97b8ff82">
      <Url>https://meyn.sharepoint.com/teams/innovation/_layouts/15/DocIdRedir.aspx?ID=S7HYFVCAMCHH-1067288026-5953666</Url>
      <Description>S7HYFVCAMCHH-1067288026-5953666</Description>
    </_dlc_DocIdUrl>
  </documentManagement>
</p:properties>
</file>

<file path=customXml/itemProps1.xml><?xml version="1.0" encoding="utf-8"?>
<ds:datastoreItem xmlns:ds="http://schemas.openxmlformats.org/officeDocument/2006/customXml" ds:itemID="{E070BCCC-1FAB-4272-85C9-5FBB0364E1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a2761b-6bae-4427-bd46-7452e4749e80"/>
    <ds:schemaRef ds:uri="495e38a1-0c24-42a5-986a-c99f97b8ff82"/>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3FAA992-2867-43AB-9E83-85D29FC27828}">
  <ds:schemaRefs>
    <ds:schemaRef ds:uri="http://schemas.microsoft.com/sharepoint/events"/>
  </ds:schemaRefs>
</ds:datastoreItem>
</file>

<file path=customXml/itemProps3.xml><?xml version="1.0" encoding="utf-8"?>
<ds:datastoreItem xmlns:ds="http://schemas.openxmlformats.org/officeDocument/2006/customXml" ds:itemID="{84A9C940-E29F-4C0C-A12B-338AFDA09985}">
  <ds:schemaRefs>
    <ds:schemaRef ds:uri="http://schemas.microsoft.com/sharepoint/v3/contenttype/forms"/>
  </ds:schemaRefs>
</ds:datastoreItem>
</file>

<file path=customXml/itemProps4.xml><?xml version="1.0" encoding="utf-8"?>
<ds:datastoreItem xmlns:ds="http://schemas.openxmlformats.org/officeDocument/2006/customXml" ds:itemID="{A3B21C31-4FF4-4E25-9266-F0ABA776A1D1}">
  <ds:schemaRefs>
    <ds:schemaRef ds:uri="http://schemas.microsoft.com/office/2006/metadata/properties"/>
    <ds:schemaRef ds:uri="http://schemas.microsoft.com/office/infopath/2007/PartnerControls"/>
    <ds:schemaRef ds:uri="http://schemas.microsoft.com/sharepoint/v3/fields"/>
    <ds:schemaRef ds:uri="95a2761b-6bae-4427-bd46-7452e4749e80"/>
    <ds:schemaRef ds:uri="495e38a1-0c24-42a5-986a-c99f97b8ff82"/>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4</vt:i4>
      </vt:variant>
    </vt:vector>
  </HeadingPairs>
  <TitlesOfParts>
    <vt:vector size="19" baseType="lpstr">
      <vt:lpstr>Cover</vt:lpstr>
      <vt:lpstr>Version Control</vt:lpstr>
      <vt:lpstr>Meta Model &amp; Glossary</vt:lpstr>
      <vt:lpstr>Conceptual Data Model</vt:lpstr>
      <vt:lpstr>1. L1 Data Domains</vt:lpstr>
      <vt:lpstr>2. L2 Data Entities</vt:lpstr>
      <vt:lpstr>3. L3 Data Attributes</vt:lpstr>
      <vt:lpstr>4. L4 Fields</vt:lpstr>
      <vt:lpstr>5. L5 Content Structure</vt:lpstr>
      <vt:lpstr>7. Define sys, collect. &amp; datas</vt:lpstr>
      <vt:lpstr>6. Data Quality Rulebook</vt:lpstr>
      <vt:lpstr>9. Person Table</vt:lpstr>
      <vt:lpstr>10. Maintenance</vt:lpstr>
      <vt:lpstr>11. Data Quality Glossary</vt:lpstr>
      <vt:lpstr>12. Process</vt:lpstr>
      <vt:lpstr>'12. Process'!Domain_name</vt:lpstr>
      <vt:lpstr>Domain_name</vt:lpstr>
      <vt:lpstr>'12. Process'!ID</vt:lpstr>
      <vt:lpstr>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Brug G.H.W. van (Wietse)</dc:creator>
  <cp:keywords/>
  <dc:description/>
  <cp:lastModifiedBy>Stuti Nayak</cp:lastModifiedBy>
  <cp:revision/>
  <dcterms:created xsi:type="dcterms:W3CDTF">2015-06-05T18:17:20Z</dcterms:created>
  <dcterms:modified xsi:type="dcterms:W3CDTF">2025-09-03T09:49:08Z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0x0101006937287B1E35314EBCD3663A462D7D81</vt:lpwstr>
  </property>
  <property fmtid="{D5CDD505-2E9C-101B-9397-08002B2CF9AE}" pid="3" name="_dlc_DocIdItemGuid">
    <vt:lpwstr>5499e32c-8031-4dfe-9ba5-9477fa2bdb4f</vt:lpwstr>
  </property>
  <property fmtid="{D5CDD505-2E9C-101B-9397-08002B2CF9AE}" pid="4" name="MediaServiceImageTags">
    <vt:lpwstr/>
  </property>
</Properties>
</file>