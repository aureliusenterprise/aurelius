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LorandVatamany\Downloads\"/>
    </mc:Choice>
  </mc:AlternateContent>
  <xr:revisionPtr revIDLastSave="0" documentId="13_ncr:1_{57A11ED9-862D-4325-82E8-B603FEEB5EDB}" xr6:coauthVersionLast="47" xr6:coauthVersionMax="47" xr10:uidLastSave="{00000000-0000-0000-0000-000000000000}"/>
  <bookViews>
    <workbookView xWindow="28680" yWindow="-120" windowWidth="51840" windowHeight="21120" tabRatio="808" firstSheet="4" activeTab="14" xr2:uid="{00000000-000D-0000-FFFF-FFFF00000000}"/>
  </bookViews>
  <sheets>
    <sheet name="Cover" sheetId="17" r:id="rId1"/>
    <sheet name="Version Control" sheetId="18" r:id="rId2"/>
    <sheet name="Meta Model &amp; Glossary" sheetId="23" r:id="rId3"/>
    <sheet name="Conceptual Data Model" sheetId="24" r:id="rId4"/>
    <sheet name="1. L1 Data Domains" sheetId="1" r:id="rId5"/>
    <sheet name="2. L2 Data Entities" sheetId="2" r:id="rId6"/>
    <sheet name="3. L3 Data Attributes" sheetId="3" r:id="rId7"/>
    <sheet name="4. L4 Fields" sheetId="9" r:id="rId8"/>
    <sheet name="5. L5 Content Structure" sheetId="15" r:id="rId9"/>
    <sheet name="7. Define sys, collect. &amp; datas" sheetId="10" r:id="rId10"/>
    <sheet name="6. Data Quality Rulebook" sheetId="11" r:id="rId11"/>
    <sheet name="9. Person Table" sheetId="16" r:id="rId12"/>
    <sheet name="10. Maintenance" sheetId="19" r:id="rId13"/>
    <sheet name="11. Data Quality Glossary" sheetId="22" r:id="rId14"/>
    <sheet name="12. Process" sheetId="26" r:id="rId15"/>
  </sheets>
  <definedNames>
    <definedName name="Domain_name" localSheetId="14">Table2[Domain name]</definedName>
    <definedName name="Domain_name">Table2[Domain name]</definedName>
    <definedName name="ID" localSheetId="14">Table2[[#Headers],[ID]]</definedName>
    <definedName name="ID">Table2[[#Headers],[ID]]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9" l="1"/>
  <c r="N3" i="9"/>
  <c r="N4" i="9"/>
  <c r="N6" i="9"/>
  <c r="N8"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F22" i="3" l="1"/>
  <c r="G22" i="3" s="1"/>
  <c r="H22" i="3" s="1"/>
  <c r="F21" i="3"/>
  <c r="G21" i="3" s="1"/>
  <c r="H21" i="3" s="1"/>
  <c r="F20" i="3"/>
  <c r="G20" i="3" s="1"/>
  <c r="H20" i="3" s="1"/>
  <c r="D2" i="2" l="1"/>
  <c r="D3" i="2"/>
  <c r="D4" i="2"/>
  <c r="D5" i="2"/>
  <c r="D6" i="2"/>
  <c r="D4" i="1"/>
  <c r="D3" i="1"/>
  <c r="G2" i="2"/>
  <c r="D4" i="26"/>
  <c r="D5" i="26"/>
  <c r="D6" i="26"/>
  <c r="F3" i="26"/>
  <c r="F4" i="26"/>
  <c r="F5" i="26"/>
  <c r="F6" i="26"/>
  <c r="F2" i="26"/>
  <c r="F19" i="3"/>
  <c r="G19" i="3" s="1"/>
  <c r="H19" i="3" s="1"/>
  <c r="F18" i="3"/>
  <c r="G18" i="3" s="1"/>
  <c r="H18" i="3" s="1"/>
  <c r="D2" i="26"/>
  <c r="D3" i="26"/>
  <c r="F54" i="9"/>
  <c r="H54" i="9"/>
  <c r="J54" i="9"/>
  <c r="M54" i="9"/>
  <c r="F53" i="9"/>
  <c r="H53" i="9"/>
  <c r="J53" i="9"/>
  <c r="M53" i="9"/>
  <c r="F52" i="9"/>
  <c r="H52" i="9"/>
  <c r="J52" i="9"/>
  <c r="M52" i="9"/>
  <c r="F51" i="9"/>
  <c r="H51" i="9"/>
  <c r="J51" i="9"/>
  <c r="M51" i="9"/>
  <c r="F50" i="9"/>
  <c r="H50" i="9"/>
  <c r="J50" i="9"/>
  <c r="M50" i="9"/>
  <c r="F49" i="9"/>
  <c r="H49" i="9"/>
  <c r="J49" i="9"/>
  <c r="M49" i="9"/>
  <c r="F48" i="9"/>
  <c r="H48" i="9"/>
  <c r="J48" i="9"/>
  <c r="M48" i="9"/>
  <c r="F47" i="9"/>
  <c r="H47" i="9"/>
  <c r="J47" i="9"/>
  <c r="M47" i="9"/>
  <c r="F46" i="9"/>
  <c r="H46" i="9"/>
  <c r="J46" i="9"/>
  <c r="M46" i="9"/>
  <c r="J44" i="9"/>
  <c r="H44" i="9"/>
  <c r="F44" i="9"/>
  <c r="J43" i="9"/>
  <c r="H43" i="9"/>
  <c r="F43" i="9"/>
  <c r="J42" i="9"/>
  <c r="H42" i="9"/>
  <c r="F42" i="9"/>
  <c r="J41" i="9"/>
  <c r="H41" i="9"/>
  <c r="F41" i="9"/>
  <c r="J40" i="9"/>
  <c r="H40" i="9"/>
  <c r="F40" i="9"/>
  <c r="J39" i="9"/>
  <c r="H39" i="9"/>
  <c r="F39" i="9"/>
  <c r="J38" i="9"/>
  <c r="H38" i="9"/>
  <c r="F38" i="9"/>
  <c r="J37" i="9"/>
  <c r="H37" i="9"/>
  <c r="F37" i="9"/>
  <c r="J36" i="9"/>
  <c r="H36" i="9"/>
  <c r="F36" i="9"/>
  <c r="J35" i="9"/>
  <c r="H35" i="9"/>
  <c r="F35" i="9"/>
  <c r="J34" i="9"/>
  <c r="H34" i="9"/>
  <c r="F34" i="9"/>
  <c r="J33" i="9"/>
  <c r="H33" i="9"/>
  <c r="F33" i="9"/>
  <c r="J20" i="9"/>
  <c r="J19" i="9"/>
  <c r="J18" i="9"/>
  <c r="J17" i="9"/>
  <c r="J16" i="9"/>
  <c r="J15" i="9"/>
  <c r="J14" i="9"/>
  <c r="F3" i="9"/>
  <c r="F2" i="9"/>
  <c r="F13" i="3"/>
  <c r="G13" i="3" s="1"/>
  <c r="F14" i="3"/>
  <c r="G14" i="3" s="1"/>
  <c r="F15" i="3"/>
  <c r="G15" i="3" s="1"/>
  <c r="F16" i="3"/>
  <c r="G16" i="3" s="1"/>
  <c r="F17" i="3"/>
  <c r="G17" i="3" s="1"/>
  <c r="G4" i="2"/>
  <c r="G5" i="2"/>
  <c r="G6" i="2"/>
  <c r="G3" i="2"/>
  <c r="E2" i="2" l="1"/>
  <c r="K46" i="9"/>
  <c r="K34" i="9"/>
  <c r="K52" i="9"/>
  <c r="K39" i="9"/>
  <c r="K35" i="9"/>
  <c r="K54" i="9"/>
  <c r="K53" i="9"/>
  <c r="K51" i="9"/>
  <c r="K50" i="9"/>
  <c r="K49" i="9"/>
  <c r="K47" i="9"/>
  <c r="K44" i="9"/>
  <c r="K43" i="9"/>
  <c r="K42" i="9"/>
  <c r="K41" i="9"/>
  <c r="K40" i="9"/>
  <c r="K38" i="9"/>
  <c r="K37" i="9"/>
  <c r="K36" i="9"/>
  <c r="K33" i="9"/>
  <c r="G5" i="26"/>
  <c r="G4" i="26"/>
  <c r="G6" i="26"/>
  <c r="G3" i="26"/>
  <c r="G2" i="26"/>
  <c r="K48" i="9"/>
  <c r="H13" i="3" l="1"/>
  <c r="H14" i="3"/>
  <c r="H15" i="3"/>
  <c r="H16" i="3"/>
  <c r="H17" i="3"/>
  <c r="M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D2" i="1"/>
  <c r="H4" i="9" l="1"/>
  <c r="F5" i="9"/>
  <c r="N5" i="9" s="1"/>
  <c r="H5" i="9"/>
  <c r="F6" i="9"/>
  <c r="H6" i="9"/>
  <c r="F7" i="9"/>
  <c r="H7" i="9"/>
  <c r="N7" i="9" s="1"/>
  <c r="F8" i="9"/>
  <c r="H8" i="9"/>
  <c r="F9" i="9"/>
  <c r="H9" i="9"/>
  <c r="F10" i="9"/>
  <c r="H10" i="9"/>
  <c r="F11" i="9"/>
  <c r="H11" i="9"/>
  <c r="F12" i="9"/>
  <c r="H12" i="9"/>
  <c r="F13" i="9"/>
  <c r="H13" i="9"/>
  <c r="F14" i="9"/>
  <c r="H14" i="9"/>
  <c r="K14" i="9" s="1"/>
  <c r="F15" i="9"/>
  <c r="H15" i="9"/>
  <c r="F16" i="9"/>
  <c r="H16" i="9"/>
  <c r="F17" i="9"/>
  <c r="H17" i="9"/>
  <c r="F18" i="9"/>
  <c r="H18" i="9"/>
  <c r="F19" i="9"/>
  <c r="H19" i="9"/>
  <c r="K19" i="9" s="1"/>
  <c r="F20" i="9"/>
  <c r="H20" i="9"/>
  <c r="K20" i="9" s="1"/>
  <c r="F21" i="9"/>
  <c r="H21" i="9"/>
  <c r="F22" i="9"/>
  <c r="H22" i="9"/>
  <c r="F23" i="9"/>
  <c r="H23" i="9"/>
  <c r="F24" i="9"/>
  <c r="H24" i="9"/>
  <c r="F25" i="9"/>
  <c r="H25" i="9"/>
  <c r="F26" i="9"/>
  <c r="H26" i="9"/>
  <c r="F27" i="9"/>
  <c r="H27" i="9"/>
  <c r="F28" i="9"/>
  <c r="H28" i="9"/>
  <c r="F29" i="9"/>
  <c r="H29" i="9"/>
  <c r="F30" i="9"/>
  <c r="H30" i="9"/>
  <c r="F31" i="9"/>
  <c r="H31" i="9"/>
  <c r="F32" i="9"/>
  <c r="H32" i="9"/>
  <c r="F45" i="9"/>
  <c r="H45" i="9"/>
  <c r="K18" i="9" l="1"/>
  <c r="K17" i="9"/>
  <c r="K16" i="9"/>
  <c r="K15" i="9"/>
  <c r="J45" i="9"/>
  <c r="K45" i="9" s="1"/>
  <c r="J32" i="9" l="1"/>
  <c r="K32" i="9" s="1"/>
  <c r="J31" i="9"/>
  <c r="K31" i="9" s="1"/>
  <c r="J30" i="9"/>
  <c r="K30" i="9" s="1"/>
  <c r="J29" i="9"/>
  <c r="K29" i="9" s="1"/>
  <c r="J28" i="9"/>
  <c r="K28" i="9" s="1"/>
  <c r="J27" i="9"/>
  <c r="K27" i="9" s="1"/>
  <c r="J26" i="9"/>
  <c r="K26" i="9" s="1"/>
  <c r="J25" i="9"/>
  <c r="K25" i="9" s="1"/>
  <c r="J24" i="9"/>
  <c r="K24" i="9" s="1"/>
  <c r="F5" i="3" l="1"/>
  <c r="G5" i="3" s="1"/>
  <c r="H5" i="3" s="1"/>
  <c r="F4" i="3"/>
  <c r="G4" i="3" s="1"/>
  <c r="H4" i="3" s="1"/>
  <c r="F3" i="3"/>
  <c r="G3" i="3" s="1"/>
  <c r="H3" i="3" s="1"/>
  <c r="H3" i="9" l="1"/>
  <c r="J2" i="9" l="1"/>
  <c r="J3" i="9" l="1"/>
  <c r="K3" i="9" s="1"/>
  <c r="J4" i="9"/>
  <c r="J5" i="9"/>
  <c r="K5" i="9" s="1"/>
  <c r="J6" i="9"/>
  <c r="K6" i="9" s="1"/>
  <c r="J7" i="9"/>
  <c r="K7" i="9" s="1"/>
  <c r="J8" i="9"/>
  <c r="K8" i="9" s="1"/>
  <c r="J9" i="9"/>
  <c r="N9" i="9" s="1"/>
  <c r="J10" i="9"/>
  <c r="K10" i="9" s="1"/>
  <c r="J11" i="9"/>
  <c r="K11" i="9" s="1"/>
  <c r="J12" i="9"/>
  <c r="K12" i="9" s="1"/>
  <c r="J13" i="9"/>
  <c r="K13" i="9" s="1"/>
  <c r="J21" i="9"/>
  <c r="K21" i="9" s="1"/>
  <c r="J22" i="9"/>
  <c r="J23" i="9"/>
  <c r="K23" i="9" s="1"/>
  <c r="H2" i="9"/>
  <c r="K2" i="9" s="1"/>
  <c r="K9" i="9" l="1"/>
  <c r="E4" i="2"/>
  <c r="E5" i="2"/>
  <c r="E6" i="2"/>
  <c r="E3" i="2"/>
  <c r="F10" i="3" l="1"/>
  <c r="G10" i="3" s="1"/>
  <c r="H10" i="3" s="1"/>
  <c r="F9" i="3"/>
  <c r="G9" i="3" s="1"/>
  <c r="H9" i="3" s="1"/>
  <c r="F8" i="3"/>
  <c r="G8" i="3" s="1"/>
  <c r="H8" i="3" s="1"/>
  <c r="F7" i="3"/>
  <c r="G7" i="3" s="1"/>
  <c r="H7" i="3" s="1"/>
  <c r="F2" i="3"/>
  <c r="G2" i="3" s="1"/>
  <c r="H2" i="3" s="1"/>
  <c r="F6" i="3"/>
  <c r="G6" i="3" s="1"/>
  <c r="H6" i="3" s="1"/>
  <c r="F11" i="3"/>
  <c r="G11" i="3" s="1"/>
  <c r="H11" i="3" s="1"/>
  <c r="F12" i="3"/>
  <c r="G12" i="3" s="1"/>
  <c r="H12" i="3" s="1"/>
  <c r="F4" i="9" l="1"/>
  <c r="K4" i="9" l="1"/>
</calcChain>
</file>

<file path=xl/sharedStrings.xml><?xml version="1.0" encoding="utf-8"?>
<sst xmlns="http://schemas.openxmlformats.org/spreadsheetml/2006/main" count="951" uniqueCount="335">
  <si>
    <t>Data Dictionary</t>
  </si>
  <si>
    <t>Version control</t>
  </si>
  <si>
    <t>Version</t>
  </si>
  <si>
    <t>Date</t>
  </si>
  <si>
    <t>Authors</t>
  </si>
  <si>
    <t>Most important changes</t>
  </si>
  <si>
    <t>0.1</t>
  </si>
  <si>
    <t>Initial Draft</t>
  </si>
  <si>
    <t/>
  </si>
  <si>
    <t>Excel sheet in this file</t>
  </si>
  <si>
    <t>Column Name</t>
  </si>
  <si>
    <t>Description</t>
  </si>
  <si>
    <t>L1 Data Domains</t>
  </si>
  <si>
    <t>ID</t>
  </si>
  <si>
    <t>The unique identifier of a data domain.</t>
  </si>
  <si>
    <t>0. Meta Model</t>
  </si>
  <si>
    <t>Domain name</t>
  </si>
  <si>
    <t>The unique functional name of a data domain</t>
  </si>
  <si>
    <t>Domain Qualified Name</t>
  </si>
  <si>
    <t>The unique technical name of a data domain which is used in Apache Atlas.</t>
  </si>
  <si>
    <t xml:space="preserve">Below figure displays the Meta Model, which is an overview of the metadata structure in the data dictionary. The Meta Model shows which metadata types exist on both physical and conceptual level, and highlights the relationships between the different metadata types. The concepts Has Parent and Parent Entity Name have been added to Data Entities (L2) to be able to interlink different data entities to created a nested structure, this is required to create a hierarchical structure between different data entities. Level 5 Metadata content is added to this figure, because in certain datasets (e.g. FTE Actuals) metadata is defined in the first column of the table in addition to the header row. To be able to process differently structured datasets, data attributes need to be linked both to Fields (L4) and Metadata Content (L5) because both represent data attributes.
</t>
  </si>
  <si>
    <t>Definition</t>
  </si>
  <si>
    <t>The definition of a data domain determined by the data steward and data owner.</t>
  </si>
  <si>
    <t>Data Domain Lead</t>
  </si>
  <si>
    <t>The owner for a data domain.</t>
  </si>
  <si>
    <t>L2 Data Entities</t>
  </si>
  <si>
    <t>The unique identifier of a data entity.</t>
  </si>
  <si>
    <t>Data Domain</t>
  </si>
  <si>
    <t>The functional name of the data domain to which a data entity belongs.</t>
  </si>
  <si>
    <t>Entity name</t>
  </si>
  <si>
    <t>The functional name of a data entity.</t>
  </si>
  <si>
    <t>Direct Relation to Domain</t>
  </si>
  <si>
    <t>This field describes if an entity has a direct relation to a data domain.</t>
  </si>
  <si>
    <t>Entity Qualified Name</t>
  </si>
  <si>
    <t>The unique technical name of a data entity which is used in Apache Atlas. This is a combination of the unique technical name of a data domain and the unique technical name of a data entity, which can consist of a single entity name or multiple entity names in case of a parent/child relationship between data entities.</t>
  </si>
  <si>
    <t>Has Parent</t>
  </si>
  <si>
    <t>Classification if a data entity has a parent data entity. Has Parent can only be answered with yes or no.</t>
  </si>
  <si>
    <t>Parent entity name</t>
  </si>
  <si>
    <t>The functional entity name to which a data entity belongs in a hierarchical data structure between different data entities. The parent entity should only be filled when Has Parent is equal to 'yes'.</t>
  </si>
  <si>
    <t>The definition of a data entity determined by the data steward and data owner.</t>
  </si>
  <si>
    <t>Business Data Owner</t>
  </si>
  <si>
    <t>The Business Data Owner of a data entity. If not provided on data entity level, the value is inherited using the owner of the corresponding data domain.</t>
  </si>
  <si>
    <t>Business Data Steward</t>
  </si>
  <si>
    <t>The Business Data Steward of a data entity. If not provided on data entity level, the value is inherited using the owner of the corresponding data domain.</t>
  </si>
  <si>
    <t>L3 Data Attributes</t>
  </si>
  <si>
    <t>The unique identifier of a data attribute.</t>
  </si>
  <si>
    <t>Entity Name</t>
  </si>
  <si>
    <t>The functional name of the data entity to which a data attribute belongs.</t>
  </si>
  <si>
    <t>Attribute Name</t>
  </si>
  <si>
    <t>The functional name of a data attribute.</t>
  </si>
  <si>
    <t>Attribute Qualified Name</t>
  </si>
  <si>
    <t>The unique technical name of a data attribute which is used in Apache Atlas. This is a combination of the unique technical name of a data domain, data entity and data attribute.</t>
  </si>
  <si>
    <t>Data Type</t>
  </si>
  <si>
    <t>The data type of a data attribute (string, numeric, JSON object) which is required to interpret the data in the correct format.</t>
  </si>
  <si>
    <t>Has PII</t>
  </si>
  <si>
    <t>Classification if this information is about a person</t>
  </si>
  <si>
    <t>Risk Classification</t>
  </si>
  <si>
    <t>The risk classification of a data attribute determined by the data steward and data owner</t>
  </si>
  <si>
    <t>Is Key Data</t>
  </si>
  <si>
    <t>Key data classification determined by the data steward and data owner</t>
  </si>
  <si>
    <t>The Business Data Owner of a data attribute. If not provided on data entity level, the value is inherited using the owner of the corresponding data entity.</t>
  </si>
  <si>
    <t>The Business Data Steward of a data attribute. If not provided on data entity level, the value is inherited using the owner of the corresponding data entity.</t>
  </si>
  <si>
    <t>L4 Fields</t>
  </si>
  <si>
    <t>The unique identifier of a field.</t>
  </si>
  <si>
    <t>The functional name of a data attribute which is the conceptual representation of a field.</t>
  </si>
  <si>
    <t>The unique technical name of a data attribute which is the conceptual representation of a field.</t>
  </si>
  <si>
    <t>System Name</t>
  </si>
  <si>
    <t>The name of a system to which the field belongs.</t>
  </si>
  <si>
    <t>Collection Name</t>
  </si>
  <si>
    <t>The name of a collection to which the field belongs.</t>
  </si>
  <si>
    <t>Dataset Name</t>
  </si>
  <si>
    <t>The name of a dataset to which the field belongs.</t>
  </si>
  <si>
    <t>Field Name</t>
  </si>
  <si>
    <t>The functional name of a field.</t>
  </si>
  <si>
    <t>Field Qualified Name</t>
  </si>
  <si>
    <t>The unique technical name of a field.</t>
  </si>
  <si>
    <t>Definition (needed?)</t>
  </si>
  <si>
    <t>The definition of a field determined by the data steward and data owner.</t>
  </si>
  <si>
    <t>Field Type</t>
  </si>
  <si>
    <t>Classification of the data type of a field (e.g. string, integer, boolean, JSON object)</t>
  </si>
  <si>
    <t>Has Content Structure</t>
  </si>
  <si>
    <t>Classification if a field represents a content structure. This classification is required for data sets in which the first column is part of the metadata structure (e.g. EIS).</t>
  </si>
  <si>
    <t>L5 Content Structure</t>
  </si>
  <si>
    <t>The unique identifier of a property in the content structure of a dataset.</t>
  </si>
  <si>
    <t>The unique technical name of a field to which a property belongs.</t>
  </si>
  <si>
    <t>Filter ID</t>
  </si>
  <si>
    <t>The ID of a content structure.</t>
  </si>
  <si>
    <t>Content Structure Name</t>
  </si>
  <si>
    <t>The functional name of a content structure.</t>
  </si>
  <si>
    <t>Content Structure Qualified Name</t>
  </si>
  <si>
    <t>The unique technical name of a content structure which is used in Apache Atlas. This is a combination of the unique technical name of a system, collection, dataset, field and property.</t>
  </si>
  <si>
    <t>The definition of a content structure determined by the data steward and data owner.</t>
  </si>
  <si>
    <t>Data Quality Rulebook</t>
  </si>
  <si>
    <t>The unique identifier of a data quality rule.</t>
  </si>
  <si>
    <t>The unique technical name of a field, for which a data quality rule needs to be applied (only needs te be filled if property qualified name is empty).</t>
  </si>
  <si>
    <t>The unique technical name of a property, for which a data quality rule needs to be applied. (only needs te be filled if field qualified name is empty)</t>
  </si>
  <si>
    <t>Business Rule Description</t>
  </si>
  <si>
    <t>Functional description on what the data field needs to adhere to.</t>
  </si>
  <si>
    <t>Data Quality Rule Description</t>
  </si>
  <si>
    <t>Functional description on what the data field needs to adhere to including the related data fields which can be used to program into a measurable rule.</t>
  </si>
  <si>
    <t>Data Quality Dimension</t>
  </si>
  <si>
    <t>Classification of the type of data quality that needs to be measured.</t>
  </si>
  <si>
    <t>Filter Required</t>
  </si>
  <si>
    <t>Classification if a filter is required for a data quality rule (this is required in case a field contains a content structure).</t>
  </si>
  <si>
    <t>Expression</t>
  </si>
  <si>
    <t>The expression that is used by a Python script to apply the correct functionality for a data quality rule.</t>
  </si>
  <si>
    <t>Active</t>
  </si>
  <si>
    <t>Classification if a data quality rule is active or inactive.</t>
  </si>
  <si>
    <t>Expression_version</t>
  </si>
  <si>
    <t>The version of the expression that is used.</t>
  </si>
  <si>
    <t>Person Table</t>
  </si>
  <si>
    <t>The unique identifier of a person.</t>
  </si>
  <si>
    <t>Person Name</t>
  </si>
  <si>
    <t>The full name of a person.</t>
  </si>
  <si>
    <t>Email address</t>
  </si>
  <si>
    <t>The email address of a person.</t>
  </si>
  <si>
    <t>Purpose of a conceptual data model is to have high level blueprint over the VO-wide/ business critical data attributes, entities and relationships, independent in which system the data resides. Data models for the data entities in scope will support the requirements to have a system-agnostic data model per object and on key attributes readily available for that. The  conceptual data model is defined from a business perspective and not from a technical perspective (and is therefore system agnostic).</t>
  </si>
  <si>
    <t>Parent entity Qualified name</t>
  </si>
  <si>
    <t>Parent entity Qualified Name2</t>
  </si>
  <si>
    <t>Parent entity Qualified Name3</t>
  </si>
  <si>
    <t>Unique entity qualified name</t>
  </si>
  <si>
    <t>Clean attribute name</t>
  </si>
  <si>
    <t>Data attribute qualified name</t>
  </si>
  <si>
    <t>Intermediate Qualified System Name</t>
  </si>
  <si>
    <t>Collection Intermediate Qualified Name</t>
  </si>
  <si>
    <t>Dataset Intermediate Qualified Name</t>
  </si>
  <si>
    <t>Intermediate Physical Qualified Name</t>
  </si>
  <si>
    <t>Field Intermediate Qualified Name</t>
  </si>
  <si>
    <t>Content Structure Intermediate Qualified Name</t>
  </si>
  <si>
    <t>Content structure Qualified Name</t>
  </si>
  <si>
    <t>System</t>
  </si>
  <si>
    <t>Data Collection</t>
  </si>
  <si>
    <t>Dataset</t>
  </si>
  <si>
    <t>Deleted Entity Qualified Name</t>
  </si>
  <si>
    <t>Deleted Attribute Qualified Name</t>
  </si>
  <si>
    <t>Version: 0.86</t>
  </si>
  <si>
    <t>Deleted Field Attribute Qualified Name</t>
  </si>
  <si>
    <t>_index</t>
  </si>
  <si>
    <t>_type</t>
  </si>
  <si>
    <t>business_rule_id</t>
  </si>
  <si>
    <t>data_attribute_name.keyword</t>
  </si>
  <si>
    <t>data_attribute_name</t>
  </si>
  <si>
    <t>data_attribute_qualified_name.keyword</t>
  </si>
  <si>
    <t>data_attribute_qualified_name</t>
  </si>
  <si>
    <t>data_domain_name.keyword</t>
  </si>
  <si>
    <t>data_domain_name</t>
  </si>
  <si>
    <t>data_domain_qualified_name.keyword</t>
  </si>
  <si>
    <t>data_domain_qualified_name</t>
  </si>
  <si>
    <t>data_entity_name.keyword</t>
  </si>
  <si>
    <t>data_entity_name</t>
  </si>
  <si>
    <t>data_entity_qualified_name.keyword</t>
  </si>
  <si>
    <t>data_entity_qualified_name</t>
  </si>
  <si>
    <t>data_field_name.keyword</t>
  </si>
  <si>
    <t>data_field_name</t>
  </si>
  <si>
    <t>data_field_qualified_name.keyword</t>
  </si>
  <si>
    <t>data_field_qualified_name</t>
  </si>
  <si>
    <t>dq_score</t>
  </si>
  <si>
    <t>expression.keyword</t>
  </si>
  <si>
    <t>expression</t>
  </si>
  <si>
    <t>expression_version</t>
  </si>
  <si>
    <t>result_id.keyword</t>
  </si>
  <si>
    <t>result_id</t>
  </si>
  <si>
    <t>run_date</t>
  </si>
  <si>
    <t>run_id.keyword</t>
  </si>
  <si>
    <t>run_id</t>
  </si>
  <si>
    <t>status.keyword</t>
  </si>
  <si>
    <t>status</t>
  </si>
  <si>
    <t>test_date</t>
  </si>
  <si>
    <t>_id</t>
  </si>
  <si>
    <t>The data quality score is the result of the performed expression, the score is a numeric value within the range 0-1.</t>
  </si>
  <si>
    <t>Conceptual Data Model</t>
  </si>
  <si>
    <t>Deleted Domain Qualified Name</t>
  </si>
  <si>
    <t>Child entity qualified name2</t>
  </si>
  <si>
    <t>Kafka Broker</t>
  </si>
  <si>
    <t>KSQL Server</t>
  </si>
  <si>
    <t>NodeRed</t>
  </si>
  <si>
    <t>Unique Domain Qualified Name</t>
  </si>
  <si>
    <t>State</t>
  </si>
  <si>
    <t>DateTime</t>
  </si>
  <si>
    <t>Yes</t>
  </si>
  <si>
    <t>No</t>
  </si>
  <si>
    <t>Text</t>
  </si>
  <si>
    <t>Numeric</t>
  </si>
  <si>
    <t>String</t>
  </si>
  <si>
    <t>Integer</t>
  </si>
  <si>
    <t>Process Name</t>
  </si>
  <si>
    <t>Process Intermediate Qualified Name</t>
  </si>
  <si>
    <t>Process Qualified Name</t>
  </si>
  <si>
    <t>System Intermediate Qualified Name</t>
  </si>
  <si>
    <t>Input 1</t>
  </si>
  <si>
    <t>Input 2</t>
  </si>
  <si>
    <t>Input 3</t>
  </si>
  <si>
    <t>Input 4</t>
  </si>
  <si>
    <t>Output 2</t>
  </si>
  <si>
    <t>Output 3</t>
  </si>
  <si>
    <t>Output 4</t>
  </si>
  <si>
    <t>Default Cluster</t>
  </si>
  <si>
    <t>Production Planning</t>
  </si>
  <si>
    <t>Order Management</t>
  </si>
  <si>
    <t>Operational Monitoring</t>
  </si>
  <si>
    <t>Production Performance</t>
  </si>
  <si>
    <t>production-planning</t>
  </si>
  <si>
    <t>Inventory and Capacity Planning</t>
  </si>
  <si>
    <t>Machine Health Metrics</t>
  </si>
  <si>
    <t>operational-monitoring</t>
  </si>
  <si>
    <t>Order Processing and Fulfillment</t>
  </si>
  <si>
    <t>Customer Order</t>
  </si>
  <si>
    <t>order-management</t>
  </si>
  <si>
    <t>Product Counter</t>
  </si>
  <si>
    <t>Yield</t>
  </si>
  <si>
    <t>Throughput</t>
  </si>
  <si>
    <t>Inventory Level</t>
  </si>
  <si>
    <t>Planned Orders Today</t>
  </si>
  <si>
    <t>Air Pressure</t>
  </si>
  <si>
    <t>Motor Temperature</t>
  </si>
  <si>
    <t>Total Power</t>
  </si>
  <si>
    <t>Fulfilled Orders Today</t>
  </si>
  <si>
    <t>Order Fulfillment</t>
  </si>
  <si>
    <t>Fulfilled Quantity</t>
  </si>
  <si>
    <t>Current Fulfillment</t>
  </si>
  <si>
    <t>Estimated Time of Completion</t>
  </si>
  <si>
    <t>Next Order Number</t>
  </si>
  <si>
    <t>Current Order</t>
  </si>
  <si>
    <t>Order Id</t>
  </si>
  <si>
    <t>Ordered Quantity</t>
  </si>
  <si>
    <t>Shipment Slot</t>
  </si>
  <si>
    <t>Customer Deadline</t>
  </si>
  <si>
    <t>Scrap Counter</t>
  </si>
  <si>
    <t>Estimate Time of Completion</t>
  </si>
  <si>
    <t>production-planning--production-performance</t>
  </si>
  <si>
    <t>production-planning--inventory-and-capacity-planning</t>
  </si>
  <si>
    <t>operational-monitoring--machine-health-metrics</t>
  </si>
  <si>
    <t>order-management--order-processing-and-fulfillment</t>
  </si>
  <si>
    <t>production-planning--production-performance--product-counter</t>
  </si>
  <si>
    <t>production-planning--production-performance--scrap-counter</t>
  </si>
  <si>
    <t>production-planning--production-performance--state</t>
  </si>
  <si>
    <t>operational-monitoring--machine-health-metrics--air-pressure</t>
  </si>
  <si>
    <t>operational-monitoring--machine-health-metrics--motor-temperature</t>
  </si>
  <si>
    <t>operational-monitoring--machine-health-metrics--total-power</t>
  </si>
  <si>
    <t>order-management--order-processing-and-fulfillment--current-order</t>
  </si>
  <si>
    <t>order-management--order-processing-and-fulfillment--next-order-number</t>
  </si>
  <si>
    <t>Sensor Data Processing</t>
  </si>
  <si>
    <t>NodeRED Flows</t>
  </si>
  <si>
    <t>produce metrics</t>
  </si>
  <si>
    <t>iot-expo-metrics</t>
  </si>
  <si>
    <t>iot-expo-metrics-avro</t>
  </si>
  <si>
    <t>Telegraf</t>
  </si>
  <si>
    <t>KSQL Processed Data</t>
  </si>
  <si>
    <t>iot-metrics-bucket</t>
  </si>
  <si>
    <t>InfluxDB</t>
  </si>
  <si>
    <t>Production</t>
  </si>
  <si>
    <t>Influx Measurements</t>
  </si>
  <si>
    <t>Telegraf Metrics</t>
  </si>
  <si>
    <t>Data Ingestion</t>
  </si>
  <si>
    <t>Data Transformation</t>
  </si>
  <si>
    <t>Data Transfer</t>
  </si>
  <si>
    <t>Timeseries Data Storage</t>
  </si>
  <si>
    <t>Grafana</t>
  </si>
  <si>
    <t>Grafana Dashboards</t>
  </si>
  <si>
    <t>production-planning--production-performance--yield</t>
  </si>
  <si>
    <t>order-management--order-processing-and-fulfillment--order-fulfillment</t>
  </si>
  <si>
    <t>production-planning--inventory-and-capacity-planning--inventory-level</t>
  </si>
  <si>
    <t>order-management--order-processing-and-fulfillment--fulfilled-orders-today</t>
  </si>
  <si>
    <t>production-planning--inventory-and-capacity-planning--planned-orders-today</t>
  </si>
  <si>
    <t>production-planning--production-performance--throughput</t>
  </si>
  <si>
    <t>order-management--order-processing-and-fulfillment--fulfilled-quantity</t>
  </si>
  <si>
    <t>order-management--order-processing-and-fulfillment--current-fulfillment</t>
  </si>
  <si>
    <t>order-management--order-processing-and-fulfillment--estimate-time-of-completion</t>
  </si>
  <si>
    <t>Float</t>
  </si>
  <si>
    <t>-Deepal Rathod</t>
  </si>
  <si>
    <t>Production KPI</t>
  </si>
  <si>
    <t>c</t>
  </si>
  <si>
    <t>Abe Rietsma</t>
  </si>
  <si>
    <t>abe.rietsma@aureliusenterprise.com</t>
  </si>
  <si>
    <t>Jeremy De Boer</t>
  </si>
  <si>
    <t>jeremy.deboer@aureliusenterprise.com</t>
  </si>
  <si>
    <t>Theo Veenstra</t>
  </si>
  <si>
    <t>theo.veenstra@aureliusenterprise.com</t>
  </si>
  <si>
    <t>Jarek Costa</t>
  </si>
  <si>
    <t>jarek.costa@aureliusenterprise.com</t>
  </si>
  <si>
    <t>Jan De Jong</t>
  </si>
  <si>
    <t>jan.dejong@aureliusenterprise.com</t>
  </si>
  <si>
    <t>Maarten Driesens</t>
  </si>
  <si>
    <t>maarten.driesens@aureliusenterprise.com</t>
  </si>
  <si>
    <t>John Ross</t>
  </si>
  <si>
    <t>john.ross@aureliusenterprise.com</t>
  </si>
  <si>
    <t>Todd Gras</t>
  </si>
  <si>
    <t>todd.gras@aureliusenterprise.com</t>
  </si>
  <si>
    <t>Laurens Franck</t>
  </si>
  <si>
    <t>laurens.franck@aureliusenterprise.com</t>
  </si>
  <si>
    <t>Johan Kooistra</t>
  </si>
  <si>
    <t>johan.kooistra@aureliusenterprise.com</t>
  </si>
  <si>
    <t>Focuses on the metrics related to overall production efficiency and performance.</t>
  </si>
  <si>
    <t>Monitors stock levels and production capacity.</t>
  </si>
  <si>
    <t>Tracks the operational status and health of machines, focusing on environmental and power-related metrics.</t>
  </si>
  <si>
    <t>This entity name captures both the production order management aspect and the fulfillment metrics .</t>
  </si>
  <si>
    <t>Represents the core attributes of each customer order including shipment and deadlines.</t>
  </si>
  <si>
    <t>Production Planning involves scheduling and organizing the steps necessary for manufacturing goods. It ensures that resources like materials, equipment, and labor are optimally allocated to meet production goals. The data in this domain focuses on upcoming production orders, resource availability, and the timeline for completing production activities. Key elements include scheduling, order prioritization, and capacity management.</t>
  </si>
  <si>
    <t>Order Management refers to the process of tracking and managing customer orders from initiation to fulfillment. It ensures that production aligns with customer demands and that orders are fulfilled on time. The data in this domain typically involves tracking current and upcoming orders, their statuses, order priorities, and the logistical flow from receipt to delivery.</t>
  </si>
  <si>
    <t>Operational Monitoring focuses on real-time tracking of the status and performance of machinery and systems in a production environment. This domain ensures that equipment operates efficiently, safely, and within desired parameters. Data includes machine states (e.g., running, idle, maintenance), sensor readings (e.g., temperature, pressure), and any performance metrics that indicate machine health and overall operational efficiency.</t>
  </si>
  <si>
    <t>A numeric value representing the total number of products produced during a specified timeframe or production run.</t>
  </si>
  <si>
    <t>A numeric value indicating the number of defective or unusable products generated during the production process.</t>
  </si>
  <si>
    <t>The percentage of products produced that meet quality standards relative to the total number of products produced, calculated as (Total Products Produced - Scrap) / Total Products Produced * 100.</t>
  </si>
  <si>
    <t>The rate at which products are produced, typically measured in units per hour or units per minute.</t>
  </si>
  <si>
    <t>The current operational status of the machine, which may include states such as "Executing" or "Non-Executing"."</t>
  </si>
  <si>
    <t>The total quantity of products  available in stock at a given time.</t>
  </si>
  <si>
    <t>The number of orders scheduled for production or fulfillment within the current day.</t>
  </si>
  <si>
    <t>The pressure of air within the machine's system used to monitor the efficiency and functionality of pneumatic systems.</t>
  </si>
  <si>
    <t>The operating temperature of the machine's motor which is used to ensure the motor is functioning within safe temperature ranges.</t>
  </si>
  <si>
    <t>The total energy consumption of the machine during operation indicating the efficiency and performance of the machine.</t>
  </si>
  <si>
    <t>The total number of orders that have been successfully completed and shipped on the current day.</t>
  </si>
  <si>
    <t>The average percentage of ordered quantities that have been successfully fulfilled across multiple orders over a specific period.</t>
  </si>
  <si>
    <t>The total number of units delivered to customers from a specific order.</t>
  </si>
  <si>
    <t>The ongoing status of order processing, which  indicates the percentage of an order that has been fulfilled to date.</t>
  </si>
  <si>
    <t>The projected time remaining until a specific order is fully fulfilled, often provided to manage customer expectations.</t>
  </si>
  <si>
    <t>The identifier for the next order to be processed, sequentially generated for tracking and organization.</t>
  </si>
  <si>
    <t>The identifier for the order currently being processed or fulfilled.</t>
  </si>
  <si>
    <t>A unique identifier assigned to each customer order for tracking and management purposes.</t>
  </si>
  <si>
    <t>The total number of units requested by the customer in a specific order.</t>
  </si>
  <si>
    <t>The scheduled time or date allocated for shipping the order, often used to manage logistics and delivery.</t>
  </si>
  <si>
    <r>
      <rPr>
        <sz val="11"/>
        <color theme="1"/>
        <rFont val="Aptos Narrow"/>
        <family val="2"/>
      </rPr>
      <t xml:space="preserve">It </t>
    </r>
    <r>
      <rPr>
        <sz val="11"/>
        <color theme="1"/>
        <rFont val="Calibri"/>
        <family val="2"/>
        <scheme val="minor"/>
      </rPr>
      <t>refers to the specific date and time by which a product must be delivered to the customer, as agreed upon in the order or contract.</t>
    </r>
    <r>
      <rPr>
        <sz val="11"/>
        <color theme="1"/>
        <rFont val="Calibri"/>
        <family val="2"/>
        <scheme val="minor"/>
      </rPr>
      <t xml:space="preserve"> </t>
    </r>
  </si>
  <si>
    <t>Output 1</t>
  </si>
  <si>
    <t>Process Owner</t>
  </si>
  <si>
    <t>order-management--customer-order</t>
  </si>
  <si>
    <t>order-management--customer-order--order-id</t>
  </si>
  <si>
    <t>order-management--customer-order--ordered-quantity</t>
  </si>
  <si>
    <t>order-management--customer-order--shipment-slot</t>
  </si>
  <si>
    <t>order-management--customer-order--customer-deadline</t>
  </si>
  <si>
    <t>nodered--nodered-flows--produce-metrics</t>
  </si>
  <si>
    <t>kafka-broker--default-cluster--iotexpometrics</t>
  </si>
  <si>
    <t>ksql-server--ksql-processed-data--iotexpometricsavro</t>
  </si>
  <si>
    <t>telegraf--telegraf-metrics--iotmetricsbucket</t>
  </si>
  <si>
    <t>influxdb--influx-measurements--production</t>
  </si>
  <si>
    <t>grafana--grafana-dashboards--production-kpi</t>
  </si>
  <si>
    <t>Cuistomer Deadline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</si>
</sst>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0"/>
      <color theme="1"/>
      <name val="Arial"/>
      <family val="2"/>
    </font>
    <font>
      <sz val="8"/>
      <name val="Calibri"/>
      <family val="2"/>
      <scheme val="minor"/>
    </font>
    <font>
      <sz val="11"/>
      <color theme="1"/>
      <name val="Arial"/>
      <family val="2"/>
    </font>
    <font>
      <b/>
      <sz val="14"/>
      <color theme="0"/>
      <name val="Bahnschrift"/>
      <family val="2"/>
    </font>
    <font>
      <b/>
      <sz val="14"/>
      <color rgb="FFFFFFFF"/>
      <name val="Bahnschrift"/>
      <family val="2"/>
    </font>
    <font>
      <sz val="28"/>
      <color theme="5"/>
      <name val="Bahnschrift"/>
      <family val="2"/>
    </font>
    <font>
      <sz val="11"/>
      <color theme="5"/>
      <name val="Bahnschrift"/>
      <family val="2"/>
    </font>
    <font>
      <sz val="11"/>
      <color rgb="FF4D4D4D"/>
      <name val="Arial"/>
      <family val="2"/>
    </font>
    <font>
      <sz val="11"/>
      <color rgb="FFFF0000"/>
      <name val="Calibri"/>
      <family val="2"/>
      <scheme val="minor"/>
    </font>
    <font>
      <b/>
      <sz val="11"/>
      <color theme="0"/>
      <name val="Calibri"/>
      <family val="2"/>
      <scheme val="minor"/>
    </font>
    <font>
      <sz val="11"/>
      <color theme="0"/>
      <name val="Calibri"/>
      <family val="2"/>
      <scheme val="minor"/>
    </font>
    <font>
      <sz val="11"/>
      <color rgb="FFFFFFFF"/>
      <name val="Calibri"/>
      <family val="2"/>
      <scheme val="minor"/>
    </font>
    <font>
      <sz val="10"/>
      <name val="Arial"/>
      <family val="2"/>
    </font>
    <font>
      <sz val="11"/>
      <name val="Calibri"/>
      <family val="2"/>
      <scheme val="minor"/>
    </font>
    <font>
      <b/>
      <sz val="48"/>
      <color rgb="FF0070C0"/>
      <name val="Bahnschrift"/>
      <family val="2"/>
    </font>
    <font>
      <b/>
      <sz val="28"/>
      <color theme="8"/>
      <name val="Arial"/>
      <family val="2"/>
    </font>
    <font>
      <b/>
      <sz val="26"/>
      <color rgb="FFFF8702"/>
      <name val="Bahnschrift"/>
      <family val="2"/>
    </font>
    <font>
      <sz val="11"/>
      <color rgb="FF000000"/>
      <name val="Arial"/>
      <family val="2"/>
    </font>
    <font>
      <sz val="26"/>
      <color rgb="FFED7D31"/>
      <name val="Bahnschrift"/>
      <family val="2"/>
    </font>
    <font>
      <sz val="12"/>
      <color rgb="FF000000"/>
      <name val="Arial"/>
      <family val="2"/>
    </font>
    <font>
      <sz val="10"/>
      <color rgb="FFFF0000"/>
      <name val="Arial"/>
      <family val="2"/>
    </font>
    <font>
      <u/>
      <sz val="11"/>
      <color theme="10"/>
      <name val="Calibri"/>
      <family val="2"/>
      <scheme val="minor"/>
    </font>
    <font>
      <sz val="11"/>
      <color theme="1"/>
      <name val="Aptos Narrow"/>
      <family val="2"/>
    </font>
  </fonts>
  <fills count="1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bgColor theme="4"/>
      </patternFill>
    </fill>
    <fill>
      <patternFill patternType="solid">
        <fgColor rgb="FFFF8702"/>
        <bgColor indexed="64"/>
      </patternFill>
    </fill>
    <fill>
      <patternFill patternType="solid">
        <fgColor rgb="FF00B0F0"/>
        <bgColor indexed="64"/>
      </patternFill>
    </fill>
    <fill>
      <patternFill patternType="solid">
        <fgColor rgb="FF253A7B"/>
        <bgColor indexed="64"/>
      </patternFill>
    </fill>
    <fill>
      <patternFill patternType="solid">
        <fgColor rgb="FF7030A0"/>
        <bgColor theme="4"/>
      </patternFill>
    </fill>
    <fill>
      <patternFill patternType="solid">
        <fgColor rgb="FFC00000"/>
        <bgColor theme="4"/>
      </patternFill>
    </fill>
    <fill>
      <patternFill patternType="solid">
        <fgColor rgb="FFFFFFFF"/>
        <bgColor rgb="FF000000"/>
      </patternFill>
    </fill>
    <fill>
      <patternFill patternType="solid">
        <fgColor rgb="FF0070C0"/>
        <bgColor rgb="FF000000"/>
      </patternFill>
    </fill>
    <fill>
      <patternFill patternType="solid">
        <fgColor rgb="FF00B0F0"/>
        <bgColor theme="4"/>
      </patternFill>
    </fill>
    <fill>
      <patternFill patternType="solid">
        <fgColor theme="4" tint="0.79998168889431442"/>
        <bgColor theme="4" tint="0.79998168889431442"/>
      </patternFill>
    </fill>
    <fill>
      <patternFill patternType="solid">
        <fgColor rgb="FFFFFF00"/>
        <bgColor indexed="64"/>
      </patternFill>
    </fill>
  </fills>
  <borders count="31">
    <border>
      <left/>
      <right/>
      <top/>
      <bottom/>
      <diagonal/>
    </border>
    <border>
      <left style="hair">
        <color auto="1"/>
      </left>
      <right style="hair">
        <color auto="1"/>
      </right>
      <top style="hair">
        <color auto="1"/>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right/>
      <top style="hair">
        <color auto="1"/>
      </top>
      <bottom style="hair">
        <color auto="1"/>
      </bottom>
      <diagonal/>
    </border>
    <border>
      <left/>
      <right style="hair">
        <color auto="1"/>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3" fillId="0" borderId="0" applyNumberFormat="0" applyFill="0" applyBorder="0" applyAlignment="0" applyProtection="0"/>
  </cellStyleXfs>
  <cellXfs count="124">
    <xf numFmtId="0" fontId="0" fillId="0" borderId="0" xfId="0"/>
    <xf numFmtId="0" fontId="2" fillId="0" borderId="1" xfId="0" applyFont="1" applyBorder="1" applyAlignment="1">
      <alignment horizontal="left" vertical="top" wrapText="1"/>
    </xf>
    <xf numFmtId="0" fontId="2" fillId="2" borderId="0" xfId="0" applyFont="1" applyFill="1" applyAlignment="1">
      <alignment horizontal="left" vertical="top" wrapText="1"/>
    </xf>
    <xf numFmtId="0" fontId="0" fillId="3" borderId="2" xfId="0" applyFill="1" applyBorder="1"/>
    <xf numFmtId="0" fontId="0" fillId="3" borderId="3" xfId="0" applyFill="1" applyBorder="1"/>
    <xf numFmtId="0" fontId="0" fillId="3" borderId="4" xfId="0" applyFill="1" applyBorder="1"/>
    <xf numFmtId="0" fontId="0" fillId="3" borderId="0" xfId="0" applyFill="1"/>
    <xf numFmtId="0" fontId="0" fillId="3" borderId="6"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7" fillId="3" borderId="0" xfId="0" applyFont="1" applyFill="1"/>
    <xf numFmtId="0" fontId="8" fillId="3" borderId="0" xfId="0" applyFont="1" applyFill="1"/>
    <xf numFmtId="0" fontId="9" fillId="3" borderId="0" xfId="0" applyFont="1" applyFill="1" applyAlignment="1">
      <alignment vertical="top" wrapText="1"/>
    </xf>
    <xf numFmtId="0" fontId="6" fillId="3" borderId="0" xfId="0" applyFont="1" applyFill="1"/>
    <xf numFmtId="0" fontId="6" fillId="3" borderId="0" xfId="0" applyFont="1" applyFill="1" applyAlignment="1">
      <alignment vertical="top"/>
    </xf>
    <xf numFmtId="0" fontId="5" fillId="3" borderId="0" xfId="0" applyFont="1" applyFill="1" applyAlignment="1">
      <alignment textRotation="90" wrapText="1"/>
    </xf>
    <xf numFmtId="0" fontId="2" fillId="0" borderId="0" xfId="0" applyFont="1" applyAlignment="1">
      <alignment horizontal="left" vertical="top" wrapText="1"/>
    </xf>
    <xf numFmtId="0" fontId="10" fillId="3" borderId="0" xfId="0" applyFont="1" applyFill="1"/>
    <xf numFmtId="0" fontId="13" fillId="7" borderId="0" xfId="0" applyFont="1" applyFill="1"/>
    <xf numFmtId="0" fontId="13" fillId="6" borderId="0" xfId="0" applyFont="1" applyFill="1"/>
    <xf numFmtId="0" fontId="13" fillId="5" borderId="0" xfId="0" applyFont="1" applyFill="1"/>
    <xf numFmtId="0" fontId="12" fillId="4" borderId="14" xfId="0" applyFont="1" applyFill="1" applyBorder="1"/>
    <xf numFmtId="0" fontId="12" fillId="4" borderId="11" xfId="0" applyFont="1" applyFill="1" applyBorder="1"/>
    <xf numFmtId="0" fontId="12" fillId="4" borderId="12" xfId="0" applyFont="1" applyFill="1" applyBorder="1"/>
    <xf numFmtId="0" fontId="12" fillId="8" borderId="14" xfId="0" applyFont="1" applyFill="1" applyBorder="1"/>
    <xf numFmtId="0" fontId="12" fillId="9" borderId="10" xfId="0" applyFont="1" applyFill="1" applyBorder="1"/>
    <xf numFmtId="0" fontId="12" fillId="9" borderId="11" xfId="0" applyFont="1" applyFill="1" applyBorder="1"/>
    <xf numFmtId="0" fontId="12" fillId="8" borderId="11" xfId="0" applyFont="1" applyFill="1" applyBorder="1"/>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2" borderId="0" xfId="0" applyFill="1" applyAlignment="1">
      <alignment vertical="top"/>
    </xf>
    <xf numFmtId="0" fontId="15" fillId="0" borderId="0" xfId="0" applyFont="1"/>
    <xf numFmtId="0" fontId="14" fillId="0" borderId="0" xfId="0" applyFont="1" applyAlignment="1">
      <alignment horizontal="left" vertical="top" wrapText="1"/>
    </xf>
    <xf numFmtId="0" fontId="14" fillId="2" borderId="0" xfId="0" applyFont="1" applyFill="1" applyAlignment="1">
      <alignment horizontal="left" vertical="top" wrapText="1"/>
    </xf>
    <xf numFmtId="0" fontId="0" fillId="0" borderId="5" xfId="0" applyBorder="1"/>
    <xf numFmtId="0" fontId="0" fillId="3" borderId="18" xfId="0" applyFill="1" applyBorder="1"/>
    <xf numFmtId="0" fontId="0" fillId="3" borderId="19" xfId="0" applyFill="1" applyBorder="1"/>
    <xf numFmtId="0" fontId="0" fillId="3" borderId="20" xfId="0" applyFill="1" applyBorder="1"/>
    <xf numFmtId="0" fontId="0" fillId="3" borderId="21" xfId="0" applyFill="1" applyBorder="1"/>
    <xf numFmtId="0" fontId="0" fillId="3" borderId="22" xfId="0" applyFill="1" applyBorder="1"/>
    <xf numFmtId="0" fontId="2" fillId="3" borderId="0" xfId="0" applyFont="1" applyFill="1"/>
    <xf numFmtId="0" fontId="19" fillId="10" borderId="0" xfId="0" applyFont="1" applyFill="1"/>
    <xf numFmtId="0" fontId="19" fillId="10" borderId="2" xfId="0" applyFont="1" applyFill="1" applyBorder="1"/>
    <xf numFmtId="0" fontId="19" fillId="10" borderId="3" xfId="0" applyFont="1" applyFill="1" applyBorder="1"/>
    <xf numFmtId="0" fontId="19" fillId="10" borderId="4" xfId="0" applyFont="1" applyFill="1" applyBorder="1"/>
    <xf numFmtId="0" fontId="19" fillId="10" borderId="5" xfId="0" applyFont="1" applyFill="1" applyBorder="1"/>
    <xf numFmtId="0" fontId="20" fillId="10" borderId="0" xfId="0" applyFont="1" applyFill="1"/>
    <xf numFmtId="0" fontId="19" fillId="10" borderId="6" xfId="0" applyFont="1" applyFill="1" applyBorder="1"/>
    <xf numFmtId="0" fontId="6" fillId="11" borderId="2" xfId="0" applyFont="1" applyFill="1" applyBorder="1"/>
    <xf numFmtId="0" fontId="6" fillId="11" borderId="3" xfId="0" applyFont="1" applyFill="1" applyBorder="1"/>
    <xf numFmtId="0" fontId="21" fillId="10" borderId="5" xfId="0" applyFont="1" applyFill="1" applyBorder="1" applyAlignment="1">
      <alignment vertical="top"/>
    </xf>
    <xf numFmtId="0" fontId="19" fillId="10" borderId="0" xfId="0" quotePrefix="1" applyFont="1" applyFill="1"/>
    <xf numFmtId="0" fontId="21" fillId="10" borderId="7" xfId="0" applyFont="1" applyFill="1" applyBorder="1" applyAlignment="1">
      <alignment vertical="top"/>
    </xf>
    <xf numFmtId="14" fontId="21" fillId="10" borderId="8" xfId="0" applyNumberFormat="1" applyFont="1" applyFill="1" applyBorder="1" applyAlignment="1">
      <alignment vertical="top"/>
    </xf>
    <xf numFmtId="0" fontId="19" fillId="10" borderId="7" xfId="0" applyFont="1" applyFill="1" applyBorder="1"/>
    <xf numFmtId="0" fontId="19" fillId="10" borderId="8" xfId="0" applyFont="1" applyFill="1" applyBorder="1"/>
    <xf numFmtId="0" fontId="19" fillId="10" borderId="9" xfId="0" applyFont="1" applyFill="1" applyBorder="1"/>
    <xf numFmtId="14" fontId="21" fillId="10" borderId="0" xfId="0" applyNumberFormat="1" applyFont="1" applyFill="1" applyAlignment="1">
      <alignment vertical="top"/>
    </xf>
    <xf numFmtId="0" fontId="12" fillId="12" borderId="11" xfId="0" applyFont="1" applyFill="1" applyBorder="1"/>
    <xf numFmtId="0" fontId="4" fillId="3" borderId="0" xfId="0" applyFont="1" applyFill="1" applyAlignment="1">
      <alignment horizontal="left"/>
    </xf>
    <xf numFmtId="0" fontId="0" fillId="0" borderId="0" xfId="0" applyAlignment="1">
      <alignment wrapText="1"/>
    </xf>
    <xf numFmtId="0" fontId="19" fillId="10" borderId="0" xfId="0" applyFont="1" applyFill="1" applyAlignment="1">
      <alignment vertical="top"/>
    </xf>
    <xf numFmtId="0" fontId="15" fillId="0" borderId="0" xfId="0" applyFont="1" applyAlignment="1">
      <alignment vertical="top"/>
    </xf>
    <xf numFmtId="0" fontId="15" fillId="0" borderId="11" xfId="0" applyFont="1" applyBorder="1"/>
    <xf numFmtId="0" fontId="15" fillId="0" borderId="14" xfId="0" applyFont="1" applyBorder="1"/>
    <xf numFmtId="0" fontId="11" fillId="0" borderId="13" xfId="0" applyFont="1" applyBorder="1"/>
    <xf numFmtId="0" fontId="0" fillId="0" borderId="11" xfId="0" applyBorder="1" applyAlignment="1">
      <alignment wrapText="1"/>
    </xf>
    <xf numFmtId="0" fontId="0" fillId="0" borderId="12" xfId="0" applyBorder="1" applyAlignment="1">
      <alignment wrapText="1"/>
    </xf>
    <xf numFmtId="0" fontId="11" fillId="0" borderId="13" xfId="0" applyFont="1" applyBorder="1" applyAlignment="1">
      <alignment wrapText="1"/>
    </xf>
    <xf numFmtId="0" fontId="0" fillId="2" borderId="0" xfId="0" applyFill="1"/>
    <xf numFmtId="0" fontId="14" fillId="0" borderId="0" xfId="0" applyFont="1" applyAlignment="1">
      <alignment vertical="top"/>
    </xf>
    <xf numFmtId="0" fontId="2" fillId="0" borderId="0" xfId="0" applyFont="1" applyAlignment="1">
      <alignment vertical="top"/>
    </xf>
    <xf numFmtId="0" fontId="10" fillId="0" borderId="0" xfId="0" applyFont="1" applyAlignment="1">
      <alignment vertical="top"/>
    </xf>
    <xf numFmtId="0" fontId="22" fillId="0" borderId="0" xfId="0" applyFont="1" applyAlignment="1">
      <alignment vertical="top"/>
    </xf>
    <xf numFmtId="0" fontId="14" fillId="0" borderId="1" xfId="0" applyFont="1" applyBorder="1" applyAlignment="1">
      <alignment horizontal="left" vertical="top" wrapText="1"/>
    </xf>
    <xf numFmtId="0" fontId="22" fillId="0" borderId="0" xfId="0" applyFont="1" applyAlignment="1">
      <alignment vertical="top" wrapText="1"/>
    </xf>
    <xf numFmtId="0" fontId="0" fillId="13" borderId="10" xfId="0" applyFill="1" applyBorder="1"/>
    <xf numFmtId="0" fontId="0" fillId="13" borderId="11" xfId="0" applyFill="1" applyBorder="1"/>
    <xf numFmtId="0" fontId="0" fillId="13" borderId="12" xfId="0" applyFill="1" applyBorder="1"/>
    <xf numFmtId="0" fontId="0" fillId="13" borderId="0" xfId="0" applyFill="1"/>
    <xf numFmtId="0" fontId="0" fillId="14" borderId="0" xfId="0" applyFill="1"/>
    <xf numFmtId="0" fontId="2" fillId="0" borderId="23" xfId="0" applyFont="1" applyBorder="1" applyAlignment="1">
      <alignment horizontal="left"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2" fillId="0" borderId="26" xfId="0" applyFont="1" applyBorder="1" applyAlignment="1">
      <alignment horizontal="left" vertical="top" wrapText="1"/>
    </xf>
    <xf numFmtId="0" fontId="2" fillId="0" borderId="27" xfId="0" applyFont="1" applyBorder="1" applyAlignment="1">
      <alignment horizontal="left" vertical="top" wrapText="1"/>
    </xf>
    <xf numFmtId="0" fontId="1" fillId="2" borderId="0" xfId="0" applyFont="1" applyFill="1" applyAlignment="1">
      <alignment vertical="top"/>
    </xf>
    <xf numFmtId="0" fontId="2" fillId="0" borderId="28" xfId="0" applyFont="1" applyBorder="1" applyAlignment="1">
      <alignment horizontal="left" vertical="top" wrapText="1"/>
    </xf>
    <xf numFmtId="0" fontId="2" fillId="0" borderId="25" xfId="0" applyFont="1" applyBorder="1" applyAlignment="1">
      <alignment vertical="top"/>
    </xf>
    <xf numFmtId="0" fontId="2" fillId="0" borderId="25" xfId="0" applyFont="1" applyBorder="1" applyAlignment="1">
      <alignment vertical="top" wrapText="1"/>
    </xf>
    <xf numFmtId="0" fontId="2" fillId="0" borderId="5" xfId="0" applyFont="1" applyBorder="1" applyAlignment="1">
      <alignment horizontal="left" vertical="top" wrapText="1"/>
    </xf>
    <xf numFmtId="0" fontId="0" fillId="0" borderId="29" xfId="0" applyBorder="1" applyAlignment="1">
      <alignment vertical="top"/>
    </xf>
    <xf numFmtId="0" fontId="23" fillId="0" borderId="0" xfId="1"/>
    <xf numFmtId="0" fontId="0" fillId="0" borderId="30" xfId="0" applyBorder="1"/>
    <xf numFmtId="0" fontId="0" fillId="0" borderId="30" xfId="0" applyBorder="1" applyAlignment="1">
      <alignment horizontal="left"/>
    </xf>
    <xf numFmtId="0" fontId="23" fillId="0" borderId="1" xfId="1" applyBorder="1" applyAlignment="1">
      <alignment horizontal="left" vertical="top" wrapText="1"/>
    </xf>
    <xf numFmtId="0" fontId="16" fillId="3" borderId="15" xfId="0" applyFont="1" applyFill="1" applyBorder="1" applyAlignment="1">
      <alignment horizontal="center"/>
    </xf>
    <xf numFmtId="0" fontId="16" fillId="3" borderId="16" xfId="0" applyFont="1" applyFill="1" applyBorder="1" applyAlignment="1">
      <alignment horizontal="center"/>
    </xf>
    <xf numFmtId="0" fontId="16" fillId="3" borderId="17" xfId="0" applyFont="1" applyFill="1" applyBorder="1" applyAlignment="1">
      <alignment horizontal="center"/>
    </xf>
    <xf numFmtId="0" fontId="17" fillId="3" borderId="18" xfId="0" applyFont="1" applyFill="1" applyBorder="1" applyAlignment="1">
      <alignment horizontal="center"/>
    </xf>
    <xf numFmtId="0" fontId="17" fillId="3" borderId="0" xfId="0" applyFont="1" applyFill="1" applyAlignment="1">
      <alignment horizontal="center"/>
    </xf>
    <xf numFmtId="0" fontId="17" fillId="3" borderId="19" xfId="0" applyFont="1" applyFill="1" applyBorder="1" applyAlignment="1">
      <alignment horizontal="center"/>
    </xf>
    <xf numFmtId="0" fontId="18" fillId="3" borderId="18" xfId="0" applyFont="1" applyFill="1" applyBorder="1" applyAlignment="1">
      <alignment horizontal="center"/>
    </xf>
    <xf numFmtId="0" fontId="18" fillId="3" borderId="0" xfId="0" applyFont="1" applyFill="1" applyAlignment="1">
      <alignment horizontal="center"/>
    </xf>
    <xf numFmtId="0" fontId="18" fillId="3" borderId="19" xfId="0" applyFont="1" applyFill="1" applyBorder="1" applyAlignment="1">
      <alignment horizontal="center"/>
    </xf>
    <xf numFmtId="0" fontId="19" fillId="10" borderId="0" xfId="0" applyFont="1" applyFill="1" applyAlignment="1">
      <alignment vertical="top"/>
    </xf>
    <xf numFmtId="0" fontId="21" fillId="10" borderId="0" xfId="0" quotePrefix="1" applyFont="1" applyFill="1" applyAlignment="1">
      <alignment vertical="top" wrapText="1"/>
    </xf>
    <xf numFmtId="0" fontId="21" fillId="10" borderId="0" xfId="0" applyFont="1" applyFill="1" applyAlignment="1">
      <alignment vertical="top" wrapText="1"/>
    </xf>
    <xf numFmtId="0" fontId="21" fillId="10" borderId="6" xfId="0" applyFont="1" applyFill="1" applyBorder="1" applyAlignment="1">
      <alignment vertical="top" wrapText="1"/>
    </xf>
    <xf numFmtId="0" fontId="21" fillId="10" borderId="8" xfId="0" quotePrefix="1" applyFont="1" applyFill="1" applyBorder="1" applyAlignment="1">
      <alignment vertical="top" wrapText="1"/>
    </xf>
    <xf numFmtId="0" fontId="21" fillId="10" borderId="8" xfId="0" applyFont="1" applyFill="1" applyBorder="1" applyAlignment="1">
      <alignment horizontal="left" vertical="top" wrapText="1"/>
    </xf>
    <xf numFmtId="0" fontId="21" fillId="10" borderId="9" xfId="0" applyFont="1" applyFill="1" applyBorder="1" applyAlignment="1">
      <alignment horizontal="left" vertical="top" wrapText="1"/>
    </xf>
    <xf numFmtId="0" fontId="21" fillId="10" borderId="0" xfId="0" quotePrefix="1" applyFont="1" applyFill="1" applyAlignment="1">
      <alignment horizontal="left" vertical="top" wrapText="1"/>
    </xf>
    <xf numFmtId="0" fontId="21" fillId="10" borderId="0" xfId="0" quotePrefix="1" applyFont="1" applyFill="1" applyAlignment="1">
      <alignment vertical="top"/>
    </xf>
    <xf numFmtId="0" fontId="21" fillId="10" borderId="0" xfId="0" applyFont="1" applyFill="1" applyAlignment="1">
      <alignment horizontal="left" vertical="top" wrapText="1"/>
    </xf>
    <xf numFmtId="0" fontId="21" fillId="10" borderId="6" xfId="0" applyFont="1" applyFill="1" applyBorder="1" applyAlignment="1">
      <alignment horizontal="left" vertical="top" wrapText="1"/>
    </xf>
    <xf numFmtId="0" fontId="6" fillId="11" borderId="3" xfId="0" applyFont="1" applyFill="1" applyBorder="1" applyAlignment="1">
      <alignment horizontal="left"/>
    </xf>
    <xf numFmtId="0" fontId="6" fillId="11" borderId="4" xfId="0" applyFont="1" applyFill="1" applyBorder="1" applyAlignment="1">
      <alignment horizontal="left"/>
    </xf>
    <xf numFmtId="0" fontId="21" fillId="10" borderId="0" xfId="0" quotePrefix="1" applyFont="1" applyFill="1" applyAlignment="1">
      <alignment horizontal="left" vertical="top"/>
    </xf>
    <xf numFmtId="0" fontId="9" fillId="3" borderId="0" xfId="0" applyFont="1" applyFill="1" applyAlignment="1">
      <alignment horizontal="left" vertical="top" wrapText="1"/>
    </xf>
    <xf numFmtId="0" fontId="5" fillId="3" borderId="0" xfId="0" applyFont="1" applyFill="1" applyAlignment="1">
      <alignment horizontal="center" textRotation="90" wrapText="1"/>
    </xf>
  </cellXfs>
  <cellStyles count="2">
    <cellStyle name="Hyperlink" xfId="1" builtinId="8"/>
    <cellStyle name="Normal" xfId="0" builtinId="0"/>
  </cellStyles>
  <dxfs count="134">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none">
          <fgColor theme="4"/>
          <bgColor auto="1"/>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val="0"/>
        <i val="0"/>
        <strike val="0"/>
        <condense val="0"/>
        <extend val="0"/>
        <outline val="0"/>
        <shadow val="0"/>
        <u val="none"/>
        <vertAlign val="baseline"/>
        <sz val="11"/>
        <color theme="0"/>
        <name val="Calibri"/>
        <family val="2"/>
        <scheme val="minor"/>
      </font>
      <fill>
        <patternFill patternType="solid">
          <fgColor theme="4"/>
          <bgColor theme="4"/>
        </patternFill>
      </fill>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rgb="FFFF0000"/>
        <name val="Arial"/>
        <family val="2"/>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fill>
        <patternFill patternType="none">
          <fgColor indexed="64"/>
          <bgColor auto="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right style="hair">
          <color auto="1"/>
        </right>
        <top style="hair">
          <color auto="1"/>
        </top>
        <bottom style="hair">
          <color auto="1"/>
        </bottom>
      </border>
    </dxf>
    <dxf>
      <font>
        <i val="0"/>
        <strike val="0"/>
        <outline val="0"/>
        <shadow val="0"/>
        <u val="none"/>
        <vertAlign val="baseline"/>
        <sz val="11"/>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outline="0">
        <left style="thin">
          <color indexed="64"/>
        </left>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right style="hair">
          <color auto="1"/>
        </right>
        <top style="hair">
          <color auto="1"/>
        </top>
        <bottom style="hair">
          <color auto="1"/>
        </bottom>
      </border>
    </dxf>
    <dxf>
      <numFmt numFmtId="0" formatCode="General"/>
      <fill>
        <patternFill patternType="none">
          <fgColor indexed="64"/>
          <bgColor auto="1"/>
        </patternFill>
      </fill>
      <alignment vertical="top" textRotation="0" indent="0" justifyLastLine="0" shrinkToFit="0" readingOrder="0"/>
      <border outline="0">
        <right style="thin">
          <color indexed="64"/>
        </right>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rgb="FFFFFF00"/>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tint="-0.249977111117893"/>
        </patternFill>
      </fill>
      <alignment vertical="top" textRotation="0" indent="0" justifyLastLine="0" shrinkToFit="0" readingOrder="0"/>
    </dxf>
    <dxf>
      <font>
        <b val="0"/>
      </font>
      <numFmt numFmtId="0" formatCode="General"/>
      <fill>
        <patternFill patternType="solid">
          <fgColor indexed="64"/>
          <bgColor theme="0" tint="-0.249977111117893"/>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vertical="top" textRotation="0" indent="0" justifyLastLine="0" shrinkToFit="0" readingOrder="0"/>
    </dxf>
    <dxf>
      <font>
        <b val="0"/>
      </font>
      <numFmt numFmtId="0" formatCode="Genera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ont>
        <sz val="10"/>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style="hair">
          <color auto="1"/>
        </top>
        <bottom style="hair">
          <color auto="1"/>
        </bottom>
      </border>
    </dxf>
    <dxf>
      <font>
        <sz val="10"/>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font>
        <sz val="10"/>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numFmt numFmtId="0" formatCode="General"/>
      <alignment vertical="top" textRotation="0" indent="0" justifyLastLine="0" shrinkToFit="0" readingOrder="0"/>
    </dxf>
    <dxf>
      <font>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general"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ont>
        <b val="0"/>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right/>
        <top style="thin">
          <color theme="4" tint="0.39997558519241921"/>
        </top>
        <bottom style="thin">
          <color theme="4" tint="0.39997558519241921"/>
        </bottom>
      </border>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11</xdr:row>
      <xdr:rowOff>0</xdr:rowOff>
    </xdr:from>
    <xdr:to>
      <xdr:col>11</xdr:col>
      <xdr:colOff>2200275</xdr:colOff>
      <xdr:row>39</xdr:row>
      <xdr:rowOff>171450</xdr:rowOff>
    </xdr:to>
    <xdr:pic>
      <xdr:nvPicPr>
        <xdr:cNvPr id="2" name="Afbeelding 3">
          <a:extLst>
            <a:ext uri="{FF2B5EF4-FFF2-40B4-BE49-F238E27FC236}">
              <a16:creationId xmlns:a16="http://schemas.microsoft.com/office/drawing/2014/main" id="{0A80AA1D-1368-4868-8262-41A84CD73465}"/>
            </a:ext>
          </a:extLst>
        </xdr:cNvPr>
        <xdr:cNvPicPr>
          <a:picLocks noChangeAspect="1"/>
        </xdr:cNvPicPr>
      </xdr:nvPicPr>
      <xdr:blipFill>
        <a:blip xmlns:r="http://schemas.openxmlformats.org/officeDocument/2006/relationships" r:embed="rId1"/>
        <a:stretch>
          <a:fillRect/>
        </a:stretch>
      </xdr:blipFill>
      <xdr:spPr>
        <a:xfrm>
          <a:off x="1282700" y="2508250"/>
          <a:ext cx="10455275" cy="812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35717</xdr:colOff>
      <xdr:row>13</xdr:row>
      <xdr:rowOff>297657</xdr:rowOff>
    </xdr:from>
    <xdr:to>
      <xdr:col>15</xdr:col>
      <xdr:colOff>267073</xdr:colOff>
      <xdr:row>32</xdr:row>
      <xdr:rowOff>123345</xdr:rowOff>
    </xdr:to>
    <xdr:grpSp>
      <xdr:nvGrpSpPr>
        <xdr:cNvPr id="2" name="Group 1">
          <a:extLst>
            <a:ext uri="{FF2B5EF4-FFF2-40B4-BE49-F238E27FC236}">
              <a16:creationId xmlns:a16="http://schemas.microsoft.com/office/drawing/2014/main" id="{10ABD49C-5FF2-461F-8BF2-2972455C531E}"/>
            </a:ext>
          </a:extLst>
        </xdr:cNvPr>
        <xdr:cNvGrpSpPr/>
      </xdr:nvGrpSpPr>
      <xdr:grpSpPr>
        <a:xfrm>
          <a:off x="1293017" y="3286602"/>
          <a:ext cx="12899606" cy="5982648"/>
          <a:chOff x="-2" y="0"/>
          <a:chExt cx="12516752" cy="5707376"/>
        </a:xfrm>
      </xdr:grpSpPr>
      <xdr:grpSp>
        <xdr:nvGrpSpPr>
          <xdr:cNvPr id="3" name="Group 2">
            <a:extLst>
              <a:ext uri="{FF2B5EF4-FFF2-40B4-BE49-F238E27FC236}">
                <a16:creationId xmlns:a16="http://schemas.microsoft.com/office/drawing/2014/main" id="{3912BF65-4354-4D83-ABDA-6A10BB632B18}"/>
              </a:ext>
            </a:extLst>
          </xdr:cNvPr>
          <xdr:cNvGrpSpPr/>
        </xdr:nvGrpSpPr>
        <xdr:grpSpPr>
          <a:xfrm>
            <a:off x="9913250" y="417441"/>
            <a:ext cx="2603500" cy="1341272"/>
            <a:chOff x="9913250" y="417441"/>
            <a:chExt cx="2603500" cy="1341272"/>
          </a:xfrm>
        </xdr:grpSpPr>
        <xdr:sp macro="" textlink="">
          <xdr:nvSpPr>
            <xdr:cNvPr id="25" name="Rectangle 24">
              <a:extLst>
                <a:ext uri="{FF2B5EF4-FFF2-40B4-BE49-F238E27FC236}">
                  <a16:creationId xmlns:a16="http://schemas.microsoft.com/office/drawing/2014/main" id="{94F9EF28-D798-4EF7-85CA-E9D69D050578}"/>
                </a:ext>
              </a:extLst>
            </xdr:cNvPr>
            <xdr:cNvSpPr/>
          </xdr:nvSpPr>
          <xdr:spPr>
            <a:xfrm>
              <a:off x="9997244" y="679051"/>
              <a:ext cx="645644" cy="169101"/>
            </a:xfrm>
            <a:prstGeom prst="rect">
              <a:avLst/>
            </a:prstGeom>
            <a:solidFill>
              <a:srgbClr val="70AD47"/>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6" name="Rectangle 25">
              <a:extLst>
                <a:ext uri="{FF2B5EF4-FFF2-40B4-BE49-F238E27FC236}">
                  <a16:creationId xmlns:a16="http://schemas.microsoft.com/office/drawing/2014/main" id="{2E0A876C-62F6-49BE-89DB-6BA12C6F1283}"/>
                </a:ext>
              </a:extLst>
            </xdr:cNvPr>
            <xdr:cNvSpPr/>
          </xdr:nvSpPr>
          <xdr:spPr>
            <a:xfrm>
              <a:off x="9997244" y="953371"/>
              <a:ext cx="645644" cy="169101"/>
            </a:xfrm>
            <a:prstGeom prst="rect">
              <a:avLst/>
            </a:prstGeom>
            <a:solidFill>
              <a:srgbClr val="4472C4"/>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7" name="TextBox 105">
              <a:extLst>
                <a:ext uri="{FF2B5EF4-FFF2-40B4-BE49-F238E27FC236}">
                  <a16:creationId xmlns:a16="http://schemas.microsoft.com/office/drawing/2014/main" id="{F4AC3A7C-EE6A-4F85-BE21-CB434D971ACC}"/>
                </a:ext>
              </a:extLst>
            </xdr:cNvPr>
            <xdr:cNvSpPr txBox="1"/>
          </xdr:nvSpPr>
          <xdr:spPr>
            <a:xfrm>
              <a:off x="9913250" y="417441"/>
              <a:ext cx="2357120" cy="261610"/>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100" b="1" i="0" u="none" strike="noStrike" kern="0" cap="none" spc="0" normalizeH="0" baseline="0">
                  <a:ln>
                    <a:noFill/>
                  </a:ln>
                  <a:effectLst/>
                  <a:uLnTx/>
                  <a:uFillTx/>
                  <a:latin typeface="Calibri" panose="020F0502020204030204"/>
                  <a:ea typeface="+mn-ea"/>
                  <a:cs typeface="+mn-cs"/>
                </a:rPr>
                <a:t>Data owner / steward:</a:t>
              </a:r>
            </a:p>
          </xdr:txBody>
        </xdr:sp>
        <xdr:sp macro="" textlink="">
          <xdr:nvSpPr>
            <xdr:cNvPr id="28" name="Rectangle 27">
              <a:extLst>
                <a:ext uri="{FF2B5EF4-FFF2-40B4-BE49-F238E27FC236}">
                  <a16:creationId xmlns:a16="http://schemas.microsoft.com/office/drawing/2014/main" id="{575D4F86-6A09-4DF3-92D0-CCEFEA6D13C6}"/>
                </a:ext>
              </a:extLst>
            </xdr:cNvPr>
            <xdr:cNvSpPr/>
          </xdr:nvSpPr>
          <xdr:spPr>
            <a:xfrm>
              <a:off x="9997244" y="1238153"/>
              <a:ext cx="645644" cy="169101"/>
            </a:xfrm>
            <a:prstGeom prst="rect">
              <a:avLst/>
            </a:prstGeom>
            <a:solidFill>
              <a:srgbClr val="FF8702"/>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9" name="TextBox 107">
              <a:extLst>
                <a:ext uri="{FF2B5EF4-FFF2-40B4-BE49-F238E27FC236}">
                  <a16:creationId xmlns:a16="http://schemas.microsoft.com/office/drawing/2014/main" id="{E35FD846-5783-4F9E-A926-8790912BC712}"/>
                </a:ext>
              </a:extLst>
            </xdr:cNvPr>
            <xdr:cNvSpPr txBox="1"/>
          </xdr:nvSpPr>
          <xdr:spPr>
            <a:xfrm>
              <a:off x="10607036" y="12103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Finance &amp; Control</a:t>
              </a:r>
            </a:p>
          </xdr:txBody>
        </xdr:sp>
        <xdr:sp macro="" textlink="">
          <xdr:nvSpPr>
            <xdr:cNvPr id="30" name="TextBox 108">
              <a:extLst>
                <a:ext uri="{FF2B5EF4-FFF2-40B4-BE49-F238E27FC236}">
                  <a16:creationId xmlns:a16="http://schemas.microsoft.com/office/drawing/2014/main" id="{97910647-1BE2-48FF-A035-4E01EFAA8A64}"/>
                </a:ext>
              </a:extLst>
            </xdr:cNvPr>
            <xdr:cNvSpPr txBox="1"/>
          </xdr:nvSpPr>
          <xdr:spPr>
            <a:xfrm>
              <a:off x="10607036" y="648185"/>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Personnel &amp; Organization</a:t>
              </a:r>
            </a:p>
          </xdr:txBody>
        </xdr:sp>
        <xdr:sp macro="" textlink="">
          <xdr:nvSpPr>
            <xdr:cNvPr id="31" name="TextBox 109">
              <a:extLst>
                <a:ext uri="{FF2B5EF4-FFF2-40B4-BE49-F238E27FC236}">
                  <a16:creationId xmlns:a16="http://schemas.microsoft.com/office/drawing/2014/main" id="{35FC85BA-B750-490C-8A07-2F7201A24796}"/>
                </a:ext>
              </a:extLst>
            </xdr:cNvPr>
            <xdr:cNvSpPr txBox="1"/>
          </xdr:nvSpPr>
          <xdr:spPr>
            <a:xfrm>
              <a:off x="10607036" y="926958"/>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SMD Fleet Crew</a:t>
              </a:r>
            </a:p>
          </xdr:txBody>
        </xdr:sp>
        <xdr:sp macro="" textlink="">
          <xdr:nvSpPr>
            <xdr:cNvPr id="32" name="Rectangle 31">
              <a:extLst>
                <a:ext uri="{FF2B5EF4-FFF2-40B4-BE49-F238E27FC236}">
                  <a16:creationId xmlns:a16="http://schemas.microsoft.com/office/drawing/2014/main" id="{256553AE-C924-4098-9543-C5D558E6F8FC}"/>
                </a:ext>
              </a:extLst>
            </xdr:cNvPr>
            <xdr:cNvSpPr/>
          </xdr:nvSpPr>
          <xdr:spPr>
            <a:xfrm>
              <a:off x="9997244" y="1555653"/>
              <a:ext cx="645644" cy="169101"/>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33" name="TextBox 107">
              <a:extLst>
                <a:ext uri="{FF2B5EF4-FFF2-40B4-BE49-F238E27FC236}">
                  <a16:creationId xmlns:a16="http://schemas.microsoft.com/office/drawing/2014/main" id="{5DFE5BD3-9ACE-4C61-8DC7-93011A7DFCFF}"/>
                </a:ext>
              </a:extLst>
            </xdr:cNvPr>
            <xdr:cNvSpPr txBox="1"/>
          </xdr:nvSpPr>
          <xdr:spPr>
            <a:xfrm>
              <a:off x="10607036" y="15278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Project Office / BUs</a:t>
              </a:r>
            </a:p>
          </xdr:txBody>
        </xdr:sp>
      </xdr:grpSp>
      <xdr:sp macro="" textlink="">
        <xdr:nvSpPr>
          <xdr:cNvPr id="4" name="Rectangle 3">
            <a:extLst>
              <a:ext uri="{FF2B5EF4-FFF2-40B4-BE49-F238E27FC236}">
                <a16:creationId xmlns:a16="http://schemas.microsoft.com/office/drawing/2014/main" id="{6B030154-12FB-458D-BF18-177B9F0A57CA}"/>
              </a:ext>
            </a:extLst>
          </xdr:cNvPr>
          <xdr:cNvSpPr/>
        </xdr:nvSpPr>
        <xdr:spPr>
          <a:xfrm>
            <a:off x="2" y="555717"/>
            <a:ext cx="2666616" cy="2006254"/>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5" name="Rectangle 4">
            <a:extLst>
              <a:ext uri="{FF2B5EF4-FFF2-40B4-BE49-F238E27FC236}">
                <a16:creationId xmlns:a16="http://schemas.microsoft.com/office/drawing/2014/main" id="{F6A82C6B-E3F8-405C-A56B-E9BE7E6DF0EF}"/>
              </a:ext>
            </a:extLst>
          </xdr:cNvPr>
          <xdr:cNvSpPr/>
        </xdr:nvSpPr>
        <xdr:spPr>
          <a:xfrm>
            <a:off x="2" y="25399"/>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Organization</a:t>
            </a:r>
          </a:p>
        </xdr:txBody>
      </xdr:sp>
      <xdr:sp macro="" textlink="">
        <xdr:nvSpPr>
          <xdr:cNvPr id="6" name="TextBox 86">
            <a:extLst>
              <a:ext uri="{FF2B5EF4-FFF2-40B4-BE49-F238E27FC236}">
                <a16:creationId xmlns:a16="http://schemas.microsoft.com/office/drawing/2014/main" id="{303739B2-434D-4B02-B80A-D02D2B08B68A}"/>
              </a:ext>
            </a:extLst>
          </xdr:cNvPr>
          <xdr:cNvSpPr txBox="1"/>
        </xdr:nvSpPr>
        <xdr:spPr>
          <a:xfrm>
            <a:off x="10005" y="560237"/>
            <a:ext cx="2666616" cy="2006255"/>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1" u="none" strike="noStrike" kern="0" cap="none" spc="0" normalizeH="0" baseline="0">
                <a:ln>
                  <a:noFill/>
                </a:ln>
                <a:effectLst/>
                <a:uLnTx/>
                <a:uFillTx/>
                <a:latin typeface="Calibri" panose="020F0502020204030204"/>
                <a:ea typeface="+mn-ea"/>
                <a:cs typeface="+mn-cs"/>
              </a:rPr>
              <a:t>Additional attributes not in scope for now</a:t>
            </a:r>
          </a:p>
        </xdr:txBody>
      </xdr:sp>
      <xdr:sp macro="" textlink="">
        <xdr:nvSpPr>
          <xdr:cNvPr id="7" name="Rectangle 6">
            <a:extLst>
              <a:ext uri="{FF2B5EF4-FFF2-40B4-BE49-F238E27FC236}">
                <a16:creationId xmlns:a16="http://schemas.microsoft.com/office/drawing/2014/main" id="{E3448811-4B75-43BB-A526-7468A9CFDBE7}"/>
              </a:ext>
            </a:extLst>
          </xdr:cNvPr>
          <xdr:cNvSpPr/>
        </xdr:nvSpPr>
        <xdr:spPr>
          <a:xfrm>
            <a:off x="1" y="318802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8" name="Rectangle 7">
            <a:extLst>
              <a:ext uri="{FF2B5EF4-FFF2-40B4-BE49-F238E27FC236}">
                <a16:creationId xmlns:a16="http://schemas.microsoft.com/office/drawing/2014/main" id="{32647B38-08A1-487E-80F1-CEA9F55A65B3}"/>
              </a:ext>
            </a:extLst>
          </xdr:cNvPr>
          <xdr:cNvSpPr/>
        </xdr:nvSpPr>
        <xdr:spPr>
          <a:xfrm>
            <a:off x="1" y="2653181"/>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Job</a:t>
            </a:r>
          </a:p>
        </xdr:txBody>
      </xdr:sp>
      <xdr:sp macro="" textlink="">
        <xdr:nvSpPr>
          <xdr:cNvPr id="9" name="TextBox 89">
            <a:extLst>
              <a:ext uri="{FF2B5EF4-FFF2-40B4-BE49-F238E27FC236}">
                <a16:creationId xmlns:a16="http://schemas.microsoft.com/office/drawing/2014/main" id="{06B87A13-0B4F-4D02-B698-0BF48CA2BD31}"/>
              </a:ext>
            </a:extLst>
          </xdr:cNvPr>
          <xdr:cNvSpPr txBox="1"/>
        </xdr:nvSpPr>
        <xdr:spPr>
          <a:xfrm>
            <a:off x="-2" y="3164994"/>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0" u="none" strike="noStrike" kern="1200" cap="none" spc="0" normalizeH="0" baseline="0">
                <a:ln>
                  <a:noFill/>
                </a:ln>
                <a:effectLst/>
                <a:uLnTx/>
                <a:uFillTx/>
                <a:latin typeface="Arial" panose="020B0604020202020204" pitchFamily="34" charset="0"/>
                <a:ea typeface="+mn-ea"/>
                <a:cs typeface="Arial" panose="020B0604020202020204" pitchFamily="34" charset="0"/>
              </a:rPr>
              <a:t>Job Name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sp macro="" textlink="">
        <xdr:nvSpPr>
          <xdr:cNvPr id="10" name="Rectangle 9">
            <a:extLst>
              <a:ext uri="{FF2B5EF4-FFF2-40B4-BE49-F238E27FC236}">
                <a16:creationId xmlns:a16="http://schemas.microsoft.com/office/drawing/2014/main" id="{D5331306-9DF5-4205-9FB9-CA3BB5EADB82}"/>
              </a:ext>
            </a:extLst>
          </xdr:cNvPr>
          <xdr:cNvSpPr/>
        </xdr:nvSpPr>
        <xdr:spPr>
          <a:xfrm>
            <a:off x="1" y="463415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1" name="Rectangle 10">
            <a:extLst>
              <a:ext uri="{FF2B5EF4-FFF2-40B4-BE49-F238E27FC236}">
                <a16:creationId xmlns:a16="http://schemas.microsoft.com/office/drawing/2014/main" id="{892ECE42-50DB-407E-8D99-12E02F6046E1}"/>
              </a:ext>
            </a:extLst>
          </xdr:cNvPr>
          <xdr:cNvSpPr/>
        </xdr:nvSpPr>
        <xdr:spPr>
          <a:xfrm>
            <a:off x="1" y="4099311"/>
            <a:ext cx="2666616" cy="534839"/>
          </a:xfrm>
          <a:prstGeom prst="rect">
            <a:avLst/>
          </a:prstGeom>
          <a:solidFill>
            <a:srgbClr val="FF8702"/>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Cost Centre</a:t>
            </a:r>
          </a:p>
        </xdr:txBody>
      </xdr:sp>
      <xdr:sp macro="" textlink="">
        <xdr:nvSpPr>
          <xdr:cNvPr id="12" name="TextBox 99">
            <a:extLst>
              <a:ext uri="{FF2B5EF4-FFF2-40B4-BE49-F238E27FC236}">
                <a16:creationId xmlns:a16="http://schemas.microsoft.com/office/drawing/2014/main" id="{027CC8FB-EDA9-468B-8191-28A42D95F4EC}"/>
              </a:ext>
            </a:extLst>
          </xdr:cNvPr>
          <xdr:cNvSpPr txBox="1"/>
        </xdr:nvSpPr>
        <xdr:spPr>
          <a:xfrm>
            <a:off x="0" y="4634151"/>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Cost Centre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grpSp>
        <xdr:nvGrpSpPr>
          <xdr:cNvPr id="13" name="Group 12">
            <a:extLst>
              <a:ext uri="{FF2B5EF4-FFF2-40B4-BE49-F238E27FC236}">
                <a16:creationId xmlns:a16="http://schemas.microsoft.com/office/drawing/2014/main" id="{6F28EBC5-5E3D-4922-889E-F6CBE1F09A15}"/>
              </a:ext>
            </a:extLst>
          </xdr:cNvPr>
          <xdr:cNvGrpSpPr/>
        </xdr:nvGrpSpPr>
        <xdr:grpSpPr>
          <a:xfrm>
            <a:off x="3085913" y="0"/>
            <a:ext cx="6652077" cy="5707376"/>
            <a:chOff x="3085913" y="0"/>
            <a:chExt cx="6652077" cy="5707376"/>
          </a:xfrm>
        </xdr:grpSpPr>
        <xdr:sp macro="" textlink="">
          <xdr:nvSpPr>
            <xdr:cNvPr id="14" name="Rectangle 13">
              <a:extLst>
                <a:ext uri="{FF2B5EF4-FFF2-40B4-BE49-F238E27FC236}">
                  <a16:creationId xmlns:a16="http://schemas.microsoft.com/office/drawing/2014/main" id="{E322179A-CF84-4339-9D4C-FCDCDFF5DBB4}"/>
                </a:ext>
              </a:extLst>
            </xdr:cNvPr>
            <xdr:cNvSpPr/>
          </xdr:nvSpPr>
          <xdr:spPr>
            <a:xfrm>
              <a:off x="3167142" y="1017439"/>
              <a:ext cx="2022333" cy="4538419"/>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5" name="Rectangle 14">
              <a:extLst>
                <a:ext uri="{FF2B5EF4-FFF2-40B4-BE49-F238E27FC236}">
                  <a16:creationId xmlns:a16="http://schemas.microsoft.com/office/drawing/2014/main" id="{21BB52D7-1F58-4E64-99BD-EFB066CB112B}"/>
                </a:ext>
              </a:extLst>
            </xdr:cNvPr>
            <xdr:cNvSpPr/>
          </xdr:nvSpPr>
          <xdr:spPr>
            <a:xfrm>
              <a:off x="3167141" y="472678"/>
              <a:ext cx="2022333" cy="544762"/>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lvl="0" algn="ctr" fontAlgn="auto">
                <a:spcBef>
                  <a:spcPts val="0"/>
                </a:spcBef>
                <a:spcAft>
                  <a:spcPts val="0"/>
                </a:spcAft>
                <a:defRPr/>
              </a:pPr>
              <a:r>
                <a:rPr lang="en-US" sz="1200" kern="0">
                  <a:solidFill>
                    <a:schemeClr val="tx1"/>
                  </a:solidFill>
                  <a:latin typeface="Calibri" panose="020F0502020204030204"/>
                </a:rPr>
                <a:t>Personnel managed by SSC, and local branch offices</a:t>
              </a:r>
              <a:endParaRPr kumimoji="0" lang="en-GB" sz="1200" b="0" i="0" u="none" strike="noStrike" kern="0" cap="none" spc="0" normalizeH="0" baseline="0">
                <a:ln>
                  <a:noFill/>
                </a:ln>
                <a:solidFill>
                  <a:schemeClr val="tx1"/>
                </a:solidFill>
                <a:effectLst/>
                <a:uLnTx/>
                <a:uFillTx/>
                <a:latin typeface="Calibri" panose="020F0502020204030204"/>
              </a:endParaRPr>
            </a:p>
          </xdr:txBody>
        </xdr:sp>
        <xdr:sp macro="" textlink="">
          <xdr:nvSpPr>
            <xdr:cNvPr id="16" name="TextBox 90">
              <a:extLst>
                <a:ext uri="{FF2B5EF4-FFF2-40B4-BE49-F238E27FC236}">
                  <a16:creationId xmlns:a16="http://schemas.microsoft.com/office/drawing/2014/main" id="{ACE48C23-0528-426F-BA49-BC5C4699D0DA}"/>
                </a:ext>
              </a:extLst>
            </xdr:cNvPr>
            <xdr:cNvSpPr txBox="1"/>
          </xdr:nvSpPr>
          <xdr:spPr>
            <a:xfrm>
              <a:off x="3170285" y="1017438"/>
              <a:ext cx="2022333" cy="4320606"/>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PO Advisor **</a:t>
              </a:r>
            </a:p>
          </xdr:txBody>
        </xdr:sp>
        <xdr:sp macro="" textlink="">
          <xdr:nvSpPr>
            <xdr:cNvPr id="17" name="Rectangle 16">
              <a:extLst>
                <a:ext uri="{FF2B5EF4-FFF2-40B4-BE49-F238E27FC236}">
                  <a16:creationId xmlns:a16="http://schemas.microsoft.com/office/drawing/2014/main" id="{6C330883-75DC-48D3-85F4-8EA8F771CFF4}"/>
                </a:ext>
              </a:extLst>
            </xdr:cNvPr>
            <xdr:cNvSpPr/>
          </xdr:nvSpPr>
          <xdr:spPr>
            <a:xfrm>
              <a:off x="5341994" y="1017440"/>
              <a:ext cx="2022329"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8" name="Rectangle 17">
              <a:extLst>
                <a:ext uri="{FF2B5EF4-FFF2-40B4-BE49-F238E27FC236}">
                  <a16:creationId xmlns:a16="http://schemas.microsoft.com/office/drawing/2014/main" id="{FB62D7B6-2B1B-42C9-B31A-63AE7FC523C8}"/>
                </a:ext>
              </a:extLst>
            </xdr:cNvPr>
            <xdr:cNvSpPr/>
          </xdr:nvSpPr>
          <xdr:spPr>
            <a:xfrm>
              <a:off x="5341994" y="472678"/>
              <a:ext cx="2022329" cy="544762"/>
            </a:xfrm>
            <a:prstGeom prst="rect">
              <a:avLst/>
            </a:prstGeom>
            <a:solidFill>
              <a:srgbClr val="4472C4"/>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SMD Fleet initiated</a:t>
              </a:r>
            </a:p>
          </xdr:txBody>
        </xdr:sp>
        <xdr:sp macro="" textlink="">
          <xdr:nvSpPr>
            <xdr:cNvPr id="19" name="TextBox 93">
              <a:extLst>
                <a:ext uri="{FF2B5EF4-FFF2-40B4-BE49-F238E27FC236}">
                  <a16:creationId xmlns:a16="http://schemas.microsoft.com/office/drawing/2014/main" id="{DEB786A8-91FE-4296-991B-D8E9B1D224B1}"/>
                </a:ext>
              </a:extLst>
            </xdr:cNvPr>
            <xdr:cNvSpPr txBox="1"/>
          </xdr:nvSpPr>
          <xdr:spPr>
            <a:xfrm>
              <a:off x="5351995" y="1017438"/>
              <a:ext cx="2022332"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PO Advisor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0" name="Rectangle 19">
              <a:extLst>
                <a:ext uri="{FF2B5EF4-FFF2-40B4-BE49-F238E27FC236}">
                  <a16:creationId xmlns:a16="http://schemas.microsoft.com/office/drawing/2014/main" id="{5EE68DD6-6272-428F-AAA3-640153BE4FE3}"/>
                </a:ext>
              </a:extLst>
            </xdr:cNvPr>
            <xdr:cNvSpPr/>
          </xdr:nvSpPr>
          <xdr:spPr>
            <a:xfrm>
              <a:off x="7516843" y="1017440"/>
              <a:ext cx="2106847"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1" name="Rectangle 20">
              <a:extLst>
                <a:ext uri="{FF2B5EF4-FFF2-40B4-BE49-F238E27FC236}">
                  <a16:creationId xmlns:a16="http://schemas.microsoft.com/office/drawing/2014/main" id="{6A5B9ECE-BF3A-4D34-8217-1AB551E6AAD3}"/>
                </a:ext>
              </a:extLst>
            </xdr:cNvPr>
            <xdr:cNvSpPr/>
          </xdr:nvSpPr>
          <xdr:spPr>
            <a:xfrm>
              <a:off x="7516842" y="472680"/>
              <a:ext cx="2106847" cy="544758"/>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Project Office initiated</a:t>
              </a:r>
            </a:p>
          </xdr:txBody>
        </xdr:sp>
        <xdr:sp macro="" textlink="">
          <xdr:nvSpPr>
            <xdr:cNvPr id="22" name="TextBox 96">
              <a:extLst>
                <a:ext uri="{FF2B5EF4-FFF2-40B4-BE49-F238E27FC236}">
                  <a16:creationId xmlns:a16="http://schemas.microsoft.com/office/drawing/2014/main" id="{33B21CB5-9490-4567-A4A0-4FF006F945C4}"/>
                </a:ext>
              </a:extLst>
            </xdr:cNvPr>
            <xdr:cNvSpPr txBox="1"/>
          </xdr:nvSpPr>
          <xdr:spPr>
            <a:xfrm>
              <a:off x="7536847" y="1017438"/>
              <a:ext cx="2106849"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Project Planner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3" name="Rectangle 22">
              <a:extLst>
                <a:ext uri="{FF2B5EF4-FFF2-40B4-BE49-F238E27FC236}">
                  <a16:creationId xmlns:a16="http://schemas.microsoft.com/office/drawing/2014/main" id="{5809B6DA-D005-459A-AD1F-694374CA04B9}"/>
                </a:ext>
              </a:extLst>
            </xdr:cNvPr>
            <xdr:cNvSpPr/>
          </xdr:nvSpPr>
          <xdr:spPr>
            <a:xfrm>
              <a:off x="3085913" y="0"/>
              <a:ext cx="6652077" cy="5670910"/>
            </a:xfrm>
            <a:prstGeom prst="rect">
              <a:avLst/>
            </a:prstGeom>
            <a:noFill/>
            <a:ln w="12700" cap="flat" cmpd="sng" algn="ctr">
              <a:solidFill>
                <a:sysClr val="windowText" lastClr="000000"/>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4" name="Rectangle 23">
              <a:extLst>
                <a:ext uri="{FF2B5EF4-FFF2-40B4-BE49-F238E27FC236}">
                  <a16:creationId xmlns:a16="http://schemas.microsoft.com/office/drawing/2014/main" id="{5940DBE4-65CD-4F3D-8C10-337858CC8D20}"/>
                </a:ext>
              </a:extLst>
            </xdr:cNvPr>
            <xdr:cNvSpPr/>
          </xdr:nvSpPr>
          <xdr:spPr>
            <a:xfrm>
              <a:off x="5034193" y="110787"/>
              <a:ext cx="2666616" cy="291931"/>
            </a:xfrm>
            <a:prstGeom prst="rect">
              <a:avLst/>
            </a:prstGeom>
            <a:no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Domain:</a:t>
              </a:r>
              <a:br>
                <a:rPr kumimoji="0" lang="en-GB" sz="1200" b="0"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&amp; Organization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204F57F-6D77-4496-A629-1CE75185E035}" name="Table81411" displayName="Table81411" ref="Q1:S57" totalsRowShown="0">
  <autoFilter ref="Q1:S57" xr:uid="{D1D9753E-C10A-4FEC-9647-300D18D13385}"/>
  <tableColumns count="3">
    <tableColumn id="1" xr3:uid="{F2C6DC51-2738-4EDD-92CF-8B737F6DCD8F}" name="Excel sheet in this file"/>
    <tableColumn id="2" xr3:uid="{78A07083-DC57-43BE-8728-35A9EC71C2FD}" name="Column Name" dataDxfId="132"/>
    <tableColumn id="3" xr3:uid="{1D3F1BAF-7981-459B-A83E-48A3D994ED77}"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65680E-E613-457C-BB23-FEC0DD03D24D}" name="Table2" displayName="Table2" ref="B1:F4" totalsRowShown="0" headerRowDxfId="130" dataDxfId="129">
  <autoFilter ref="B1:F4" xr:uid="{77BEF923-0E84-4319-BE80-D92CC25459A2}"/>
  <tableColumns count="5">
    <tableColumn id="5" xr3:uid="{11B3A1DB-AB66-4648-ABA4-E86BEF7B486B}" name="ID" dataDxfId="128"/>
    <tableColumn id="1" xr3:uid="{760C961A-6C0B-480E-920E-A1E5679B257B}" name="Domain name" dataDxfId="127"/>
    <tableColumn id="2" xr3:uid="{27621B33-D617-479E-A693-BCD9361C8766}" name="Domain Qualified Name" dataDxfId="126">
      <calculatedColumnFormula>SUBSTITUTE(SUBSTITUTE(SUBSTITUTE(SUBSTITUTE(LOWER(C2),"&amp;",""),"-",""),"  ","-")," ","-")</calculatedColumnFormula>
    </tableColumn>
    <tableColumn id="4" xr3:uid="{D22E4325-3A2F-4A79-AEFB-C0B20EDAF848}" name="Definition" dataDxfId="125"/>
    <tableColumn id="3" xr3:uid="{6B1423F3-5FC8-44DE-B0EB-9EFB4A75D370}" name="Data Domain Lead" dataDxfId="1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880463-BAAB-469E-A7F9-D8BB0AA85065}" name="Table1" displayName="Table1" ref="B1:P6" totalsRowShown="0" headerRowDxfId="120" dataDxfId="119">
  <autoFilter ref="B1:P6" xr:uid="{EED484E7-34B3-4E9F-9934-BE196F1ED2DB}"/>
  <tableColumns count="15">
    <tableColumn id="11" xr3:uid="{0858CF24-0FCF-45FB-B58A-0CE747D08160}" name="ID" dataDxfId="118"/>
    <tableColumn id="1" xr3:uid="{85E6BEAF-3210-4B73-950F-B9D78F6AFAE8}" name="Data Domain" dataDxfId="117"/>
    <tableColumn id="2" xr3:uid="{EE30D4C6-851B-453B-A9E6-837F21E6DF85}" name="Unique Domain Qualified Name" dataDxfId="116">
      <calculatedColumnFormula>Table1[[#This Row],[Data Domain]]</calculatedColumnFormula>
    </tableColumn>
    <tableColumn id="12" xr3:uid="{183D6FBB-32A3-42F1-9840-83420C4A79BA}" name="Entity Qualified Name" dataDxfId="115">
      <calculatedColumnFormula>IF(Table1[[#This Row],[Has Parent]]="Yes",Table1[[#This Row],[Unique Domain Qualified Name]]&amp;"--"&amp;Table1[[#This Row],[Parent entity Qualified Name3]]&amp;"--"&amp;Table1[[#This Row],[Child entity qualified name2]],Table1[[#This Row],[Unique Domain Qualified Name]]&amp;"--"&amp;Table1[[#This Row],[Child entity qualified name2]])</calculatedColumnFormula>
    </tableColumn>
    <tableColumn id="5" xr3:uid="{17D21751-1CFA-4273-AE5B-9CCCFA323CF9}" name="Entity name" dataDxfId="114"/>
    <tableColumn id="6" xr3:uid="{2DFDA551-602D-495F-8678-9FE7BDED5B93}" name="Child entity qualified name2" dataDxfId="113">
      <calculatedColumnFormula>SUBSTITUTE(SUBSTITUTE(SUBSTITUTE(SUBSTITUTE(LOWER(F2),"&amp;",""),"-",""),"  ","-")," ","-")</calculatedColumnFormula>
    </tableColumn>
    <tableColumn id="17" xr3:uid="{8FEFC1A8-7843-4217-A892-649BB56FBB4A}" name="Direct Relation to Domain" dataDxfId="112"/>
    <tableColumn id="10" xr3:uid="{D2D9F642-4ED1-4281-8616-60D1BF069657}" name="Has Parent" dataDxfId="111"/>
    <tableColumn id="3" xr3:uid="{02B9F114-1D27-485E-AE86-7F2F64709DC8}" name="Parent entity name" dataDxfId="110"/>
    <tableColumn id="13" xr3:uid="{09A54DC7-CCBB-4C8C-BA19-DCAEA474BB5A}" name="Parent entity Qualified name" dataDxfId="109"/>
    <tableColumn id="4" xr3:uid="{FCBF87D6-3A00-4E15-982F-A2967EECFC3F}" name="Parent entity Qualified Name2" dataDxfId="108"/>
    <tableColumn id="14" xr3:uid="{AC997321-D1E5-4442-B718-C7601434D9D3}" name="Parent entity Qualified Name3" dataDxfId="107"/>
    <tableColumn id="9" xr3:uid="{C856988D-56DC-4D2C-97C7-7D8F24466851}" name="Definition" dataDxfId="106"/>
    <tableColumn id="7" xr3:uid="{01C724AD-914C-4B66-8CCF-A0F51D14DFA2}" name="Business Data Owner" dataDxfId="105"/>
    <tableColumn id="8" xr3:uid="{1A160386-2E10-4338-9A72-0B2FCE78152B}" name="Business Data Steward" dataDxfId="1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202A9A-FC31-402C-8039-A3CB45209585}" name="Table3" displayName="Table3" ref="B1:O22" totalsRowShown="0" headerRowDxfId="99" dataDxfId="98">
  <autoFilter ref="B1:O22" xr:uid="{4FD5616A-5629-4D4B-B5AE-EC7B7D90F6E8}"/>
  <tableColumns count="14">
    <tableColumn id="11" xr3:uid="{60DACB35-3011-4473-AEE9-71110FB9802A}" name="ID" dataDxfId="97"/>
    <tableColumn id="1" xr3:uid="{1D98DB5D-84D0-4E71-8E73-F2356D1A44B5}" name="Entity Name" dataDxfId="96"/>
    <tableColumn id="7" xr3:uid="{6657B562-460F-4A49-894E-6BAEA117B0EE}" name="Unique entity qualified name" dataDxfId="95"/>
    <tableColumn id="2" xr3:uid="{91D47C4A-373E-412C-8163-3C197BB64EFB}" name="Attribute Name" dataDxfId="94"/>
    <tableColumn id="9" xr3:uid="{97153AB9-40F9-44AE-B4DF-C574201C2A71}" name="Clean attribute name" dataDxfId="93">
      <calculatedColumnFormula>IF(RIGHT(Table3[[#This Row],[Attribute Name]],1)=" ",LEFT(Table3[[#This Row],[Attribute Name]],(LEN(Table3[[#This Row],[Attribute Name]]))-1),Table3[[#This Row],[Attribute Name]])</calculatedColumnFormula>
    </tableColumn>
    <tableColumn id="8" xr3:uid="{F5971FDA-FA91-4836-8209-161A6094EB2F}" name="Data attribute qualified name" dataDxfId="92">
      <calculatedColumnFormula>SUBSTITUTE(SUBSTITUTE(SUBSTITUTE(SUBSTITUTE(LOWER(F2),"&amp;",""),"-",""),"  ","-")," ","-")</calculatedColumnFormula>
    </tableColumn>
    <tableColumn id="3" xr3:uid="{0BAA9EA4-C1C6-4870-AC8C-1E154B7B5B3F}" name="Attribute Qualified Name" dataDxfId="91">
      <calculatedColumnFormula>IF(Table3[[#This Row],[Unique entity qualified name]]&lt;&gt;"",Table3[[#This Row],[Unique entity qualified name]]&amp;"--"&amp;Table3[[#This Row],[Data attribute qualified name]],"")</calculatedColumnFormula>
    </tableColumn>
    <tableColumn id="6" xr3:uid="{C41136C5-1D75-41EB-8A6E-AEA645554009}" name="Definition" dataDxfId="90"/>
    <tableColumn id="13" xr3:uid="{18693B58-C502-4EE0-A78A-0545DEA8BDA6}" name="Data Type" dataDxfId="89"/>
    <tableColumn id="14" xr3:uid="{7352F136-E93F-4AA0-97A0-5B237E242CAC}" name="Has PII" dataDxfId="88"/>
    <tableColumn id="15" xr3:uid="{86809FFD-BE26-43E1-B093-5528DB1EB0FD}" name="Risk Classification" dataDxfId="87"/>
    <tableColumn id="16" xr3:uid="{D02BF6EA-D3C9-4A99-AACE-FAAC1BA752F7}" name="Is Key Data" dataDxfId="86"/>
    <tableColumn id="4" xr3:uid="{1B14660D-96AF-4F66-ADCF-113CCC9C2E7A}" name="Business Data Owner" dataDxfId="85"/>
    <tableColumn id="5" xr3:uid="{5DC0574A-383B-467C-ADDC-DBF272278B58}" name="Business Data Steward" dataDxfId="8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F057A0-C731-43A5-A2BD-E1CB782928DE}" name="Table4" displayName="Table4" ref="B1:Q122" totalsRowShown="0" headerRowDxfId="83" dataDxfId="82">
  <autoFilter ref="B1:Q122" xr:uid="{3FD2569B-B86D-4F39-9D9A-1B32B8579048}"/>
  <tableColumns count="16">
    <tableColumn id="1" xr3:uid="{DCE8DE63-589D-4A72-A9DC-8C3CB455985B}" name="ID" dataDxfId="81"/>
    <tableColumn id="2" xr3:uid="{DA5FDA8C-AAED-4EA1-9354-580D45B02E12}" name="Attribute Name" dataDxfId="80"/>
    <tableColumn id="8" xr3:uid="{3F58AFBE-20C9-44D8-BD12-D431B52C063D}" name="Attribute Qualified Name" dataDxfId="79"/>
    <tableColumn id="10" xr3:uid="{F0F75020-6A4E-442B-B3F4-8BC717D3CCA5}" name="System Name" dataDxfId="78"/>
    <tableColumn id="16" xr3:uid="{4D134E53-CC8E-4F44-9069-CC707D730046}" name="Intermediate Qualified System Name" dataDxfId="77">
      <calculatedColumnFormula>SUBSTITUTE(SUBSTITUTE(SUBSTITUTE(SUBSTITUTE(LOWER(E2),"&amp;",""),"-",""),"  ","-")," ","-")</calculatedColumnFormula>
    </tableColumn>
    <tableColumn id="11" xr3:uid="{AD5EDBEA-92D5-4400-85E0-DC18567154BB}" name="Collection Name" dataDxfId="76"/>
    <tableColumn id="17" xr3:uid="{307A19ED-7B7D-4CC3-81A2-0DB0C0259401}" name="Collection Intermediate Qualified Name" dataDxfId="75">
      <calculatedColumnFormula>SUBSTITUTE(SUBSTITUTE(SUBSTITUTE(SUBSTITUTE(LOWER(G2),"&amp;",""),"-",""),"  ","-")," ","-")</calculatedColumnFormula>
    </tableColumn>
    <tableColumn id="12" xr3:uid="{7A025681-A4D5-49D3-9D4E-844700F4DE7C}" name="Dataset Name" dataDxfId="74"/>
    <tableColumn id="15" xr3:uid="{17FE7430-7A57-439F-B835-DBD3774BBBA5}" name="Dataset Intermediate Qualified Name" dataDxfId="73">
      <calculatedColumnFormula>SUBSTITUTE(SUBSTITUTE(SUBSTITUTE(SUBSTITUTE(LOWER(I2),"&amp;",""),"-",""),"  ","-")," ","-")</calculatedColumnFormula>
    </tableColumn>
    <tableColumn id="18" xr3:uid="{065F3F72-77E9-4DF7-B13D-6652F4CDAD74}" name="Intermediate Physical Qualified Name" dataDxfId="72">
      <calculatedColumnFormula>Table4[[#This Row],[Intermediate Qualified System Name]]&amp;"--"&amp;Table4[[#This Row],[Collection Intermediate Qualified Name]]&amp;"--"&amp;Table4[[#This Row],[Dataset Intermediate Qualified Name]]</calculatedColumnFormula>
    </tableColumn>
    <tableColumn id="3" xr3:uid="{2901DB0C-798C-4DF3-A91E-767535B7776C}" name="Field Name" dataDxfId="71"/>
    <tableColumn id="4" xr3:uid="{3DE52DAB-9E4A-4B37-B4C4-0E209109477B}" name="Field Intermediate Qualified Name" dataDxfId="70">
      <calculatedColumnFormula>SUBSTITUTE(SUBSTITUTE(SUBSTITUTE(LOWER(L2),"&amp;",""),"  ","-")," ","-")</calculatedColumnFormula>
    </tableColumn>
    <tableColumn id="9" xr3:uid="{C09004C5-86A3-44FC-9B9B-70D8B886462E}" name="Field Qualified Name" dataDxfId="69">
      <calculatedColumnFormula>Table4[[#This Row],[Intermediate Qualified System Name]]&amp;"--"&amp;Table4[[#This Row],[Collection Intermediate Qualified Name]]&amp;"--"&amp;Table4[[#This Row],[Dataset Intermediate Qualified Name]]&amp;"--"&amp;Table4[[#This Row],[Field Intermediate Qualified Name]]</calculatedColumnFormula>
    </tableColumn>
    <tableColumn id="5" xr3:uid="{4A746A7E-B290-485D-A032-319E4189A269}" name="Definition" dataDxfId="68"/>
    <tableColumn id="6" xr3:uid="{2D644923-E13B-4D2A-946C-EEA3E8666761}" name="Field Type" dataDxfId="67"/>
    <tableColumn id="7" xr3:uid="{2F03FB66-57EB-4755-A1AD-376DC649A239}" name="Has Content Structure" dataDxfId="6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89B1B0-968F-4127-AF12-4EB168DFB250}" name="Table11" displayName="Table11" ref="A1:G1048576" totalsRowShown="0">
  <autoFilter ref="A1:G1048576" xr:uid="{DEA24130-03A4-441B-BECC-B4D6F267B067}"/>
  <tableColumns count="7">
    <tableColumn id="10" xr3:uid="{4702F292-97D3-4082-A388-DABD60DC6959}" name="ID"/>
    <tableColumn id="1" xr3:uid="{4F2EB632-819E-4311-9A49-6F35060A0296}" name="Field Qualified Name"/>
    <tableColumn id="5" xr3:uid="{E7D171A2-E705-4086-A91A-1F90E4795A3E}" name="Filter ID"/>
    <tableColumn id="6" xr3:uid="{14256360-EB1C-4631-BF68-E1F0D3B689D2}" name="Content Structure Name" dataDxfId="63"/>
    <tableColumn id="7" xr3:uid="{DE113785-4557-42B2-8780-421E9C7203A5}" name="Content Structure Intermediate Qualified Name" dataDxfId="62"/>
    <tableColumn id="9" xr3:uid="{E201A700-B080-440A-B5D9-1FC966ED3247}" name="Content Structure Qualified Name" dataDxfId="61"/>
    <tableColumn id="8" xr3:uid="{B11984BD-3440-4437-B510-62465461DE4E}" name="Defin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031C99-3747-4153-AA9F-22969EB8AB8E}" name="Table5" displayName="Table5" ref="B1:D18" totalsRowShown="0">
  <autoFilter ref="B1:D18" xr:uid="{C0F86691-63C3-4C8A-9E46-BA50F5B1AD97}"/>
  <tableColumns count="3">
    <tableColumn id="1" xr3:uid="{C2E4E630-BB9D-4057-84A8-99109B0ED733}" name="System"/>
    <tableColumn id="2" xr3:uid="{41AF1246-C0F7-4DEC-9CBC-94D58378C172}" name="Data Collection"/>
    <tableColumn id="3" xr3:uid="{6E868F50-C07B-41C8-935B-170A2598D43C}" name="Datase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13D758-C033-4130-BC9C-0B027D35E57F}" name="Table6" displayName="Table6" ref="B1:K1048576" totalsRowShown="0" headerRowDxfId="60" dataDxfId="59">
  <autoFilter ref="B1:K1048576" xr:uid="{81BB038A-2A5A-4912-80CF-7DF61FC69F03}"/>
  <sortState xmlns:xlrd2="http://schemas.microsoft.com/office/spreadsheetml/2017/richdata2" ref="B2:K2">
    <sortCondition ref="C1:C2"/>
  </sortState>
  <tableColumns count="10">
    <tableColumn id="1" xr3:uid="{BA920A0C-4399-4BF6-B845-FA09E101EEA6}" name="ID" dataDxfId="58"/>
    <tableColumn id="2" xr3:uid="{E90D218E-B0AC-4349-89DC-68883D6C9EA8}" name="Field Qualified Name" dataDxfId="57"/>
    <tableColumn id="11" xr3:uid="{35B4DE99-3E5C-4872-AE10-9BBE5722CAB7}" name="Content structure Qualified Name" dataDxfId="56"/>
    <tableColumn id="3" xr3:uid="{FF1A9833-2798-4617-A70D-6F9F768CD3D7}" name="Business Rule Description" dataDxfId="55"/>
    <tableColumn id="4" xr3:uid="{27CA0BA4-9049-4416-A2F1-31C3B17F79BB}" name="Data Quality Rule Description" dataDxfId="54"/>
    <tableColumn id="5" xr3:uid="{EB0679D3-8326-44DE-AD02-DFFC24C88A94}" name="Data Quality Dimension" dataDxfId="53"/>
    <tableColumn id="6" xr3:uid="{6264F35F-794D-446F-85E7-1FA6B1B0BE38}" name="Filter Required" dataDxfId="52"/>
    <tableColumn id="7" xr3:uid="{1085C6F2-5292-4DF8-B870-EC74F70CCE8D}" name="Expression" dataDxfId="51"/>
    <tableColumn id="8" xr3:uid="{0DA8B5D2-A884-4C62-BAE6-A35B32158CA7}" name="Active" dataDxfId="50"/>
    <tableColumn id="9" xr3:uid="{4F453B51-9556-4F2A-BD60-1BB6D37DCA90}" name="Expression_version" dataDxfId="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64F302-6D7B-4385-BEFE-4178F5F5E52E}" name="Table12" displayName="Table12" ref="B1:D11" totalsRowShown="0" headerRowDxfId="48" headerRowBorderDxfId="47" tableBorderDxfId="46">
  <autoFilter ref="B1:D11" xr:uid="{26C23952-D3C1-49F0-87B6-F7342773BECF}"/>
  <tableColumns count="3">
    <tableColumn id="1" xr3:uid="{AAD91E70-5D77-48A2-9725-7E7A280444D2}" name="ID"/>
    <tableColumn id="2" xr3:uid="{B3F72BCF-D50A-4264-88AC-917784043B61}" name="Person Name"/>
    <tableColumn id="3" xr3:uid="{73C9704F-7EB3-4700-BC40-63A4EC2A599C}" name="Email addres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737102A-96A9-42D4-9A63-7F0E0891B011}" name="Table7" displayName="Table7" ref="E1:F5" totalsRowShown="0" headerRowDxfId="45" dataDxfId="43" headerRowBorderDxfId="44" tableBorderDxfId="42" totalsRowBorderDxfId="41">
  <autoFilter ref="E1:F5" xr:uid="{752363C7-2EC9-470A-9559-60CDB7C240AF}"/>
  <tableColumns count="2">
    <tableColumn id="1" xr3:uid="{D133640A-5906-4F27-8F8B-5AB3957479B7}" name="ID" dataDxfId="40"/>
    <tableColumn id="2" xr3:uid="{D2773445-0A83-41BA-8AB3-EB9CA1C45C10}" name="Deleted Entity Qualified Name" dataDxfId="3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3C6E076-56B4-45EF-AEFA-EFCCA916C4D4}" name="Table710" displayName="Table710" ref="H1:I80" totalsRowShown="0" headerRowDxfId="38" dataDxfId="36" headerRowBorderDxfId="37" tableBorderDxfId="35" totalsRowBorderDxfId="34">
  <autoFilter ref="H1:I80" xr:uid="{7FA359C4-807B-4A1A-8B53-AE46F1442FEC}"/>
  <tableColumns count="2">
    <tableColumn id="1" xr3:uid="{1EE3C6CF-8C2E-4887-B766-5628C7607A30}" name="ID" dataDxfId="33"/>
    <tableColumn id="2" xr3:uid="{FCD338D9-64A0-4CC1-ACFC-34D8E3F2D8A0}" name="Deleted Attribute Qualified Name" dataDxfId="3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4BA9D6-6DC0-4700-84AE-A9334D422479}" name="Table8" displayName="Table8" ref="K1:L63" totalsRowShown="0">
  <autoFilter ref="K1:L63" xr:uid="{0D100CE3-BAD1-4187-BE50-4FD3454898E9}"/>
  <tableColumns count="2">
    <tableColumn id="1" xr3:uid="{FCC8725C-AE2A-4526-AA32-6E67B7778019}" name="ID"/>
    <tableColumn id="2" xr3:uid="{0FD9BD15-ED5C-4166-B845-C3CD5F16B00C}" name="Deleted Field Attribute Qualified Na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CAF7B78-28CB-4C74-9053-AA355C121200}" name="Table714" displayName="Table714" ref="B1:C3" totalsRowShown="0" headerRowDxfId="31" dataDxfId="29" headerRowBorderDxfId="30" tableBorderDxfId="28" totalsRowBorderDxfId="27">
  <autoFilter ref="B1:C3" xr:uid="{C772EA87-744E-4307-8C33-A4BE0CA7E26E}"/>
  <tableColumns count="2">
    <tableColumn id="1" xr3:uid="{71366FF7-0231-46DF-9CE6-3DEF2F7C5932}" name="ID" dataDxfId="26"/>
    <tableColumn id="2" xr3:uid="{048DCCC1-C5D4-473E-A01E-5A19CDA79A60}" name="Deleted Domain Qualified Name" dataDxfId="2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70528F9-EFF0-4B1D-AAB2-37CEE8432E50}" name="Table14" displayName="Table14" ref="B2:C34" totalsRowShown="0" headerRowDxfId="24" dataDxfId="22" headerRowBorderDxfId="23" tableBorderDxfId="21" totalsRowBorderDxfId="20">
  <autoFilter ref="B2:C34" xr:uid="{6F515D25-4287-4766-85EB-AD9C7FD511F6}"/>
  <tableColumns count="2">
    <tableColumn id="2" xr3:uid="{3D58ECEF-AA5F-44E3-8C20-CBD2305AB89A}" name="Field Name" dataDxfId="19"/>
    <tableColumn id="3" xr3:uid="{CABF50FE-AAD8-4782-AE2B-13A6E3624388}" name="Description" dataDxfId="1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FE5DA9D-D25C-4840-BDA6-F51DDE570003}" name="Table416" displayName="Table416" ref="B1:Q11" totalsRowShown="0" headerRowDxfId="17" dataDxfId="16">
  <autoFilter ref="B1:Q11" xr:uid="{3FD2569B-B86D-4F39-9D9A-1B32B8579048}"/>
  <tableColumns count="16">
    <tableColumn id="1" xr3:uid="{99D1C1CB-E2E3-4F72-AE2A-2144340F74B6}" name="ID" dataDxfId="15"/>
    <tableColumn id="12" xr3:uid="{3ADB90E6-05FE-4CF3-A3C3-9D8EF1407698}" name="System Name" dataDxfId="14"/>
    <tableColumn id="15" xr3:uid="{46C5256F-6F32-4FA5-8E69-DF68B99576B2}" name="System Intermediate Qualified Name" dataDxfId="13">
      <calculatedColumnFormula>SUBSTITUTE(SUBSTITUTE(SUBSTITUTE(SUBSTITUTE(LOWER(C2),"&amp;",""),"-",""),"  ","-")," ","-")</calculatedColumnFormula>
    </tableColumn>
    <tableColumn id="3" xr3:uid="{90F3A15F-7723-46CF-A0BC-350B268E22A1}" name="Process Name" dataDxfId="12"/>
    <tableColumn id="4" xr3:uid="{E218143E-BADD-490A-BD56-A2F242773E82}" name="Process Intermediate Qualified Name" dataDxfId="11">
      <calculatedColumnFormula>SUBSTITUTE(SUBSTITUTE(SUBSTITUTE(LOWER(#REF!),"&amp;",""),"  ","-")," ","-")</calculatedColumnFormula>
    </tableColumn>
    <tableColumn id="9" xr3:uid="{C4C15665-7D6B-4259-ADCE-F197E7ADBDF5}" name="Process Qualified Name" dataDxfId="10">
      <calculatedColumnFormula>Table416[[#This Row],[System Intermediate Qualified Name]]&amp;"--"&amp;Table416[[#This Row],[Process Intermediate Qualified Name]]</calculatedColumnFormula>
    </tableColumn>
    <tableColumn id="7" xr3:uid="{7C79DAA1-8BBD-4709-B1AE-259B2F2395B7}" name="Input 1" dataDxfId="9"/>
    <tableColumn id="2" xr3:uid="{6C5E1454-3124-4D96-A515-73AFC8E7AF56}" name="Input 2" dataDxfId="8"/>
    <tableColumn id="8" xr3:uid="{6F7D5848-77F9-4BB2-B207-0496BC7F7CC1}" name="Input 3" dataDxfId="7"/>
    <tableColumn id="10" xr3:uid="{41A50F8E-C292-48D2-B848-ABB423C1A3B5}" name="Input 4" dataDxfId="6"/>
    <tableColumn id="11" xr3:uid="{EC76F145-0CFB-435E-AE28-10ED08641D05}" name="Output 1" dataDxfId="5"/>
    <tableColumn id="13" xr3:uid="{572BEF9F-68B4-4F41-AAEF-7E0600A6EC5B}" name="Output 2" dataDxfId="4"/>
    <tableColumn id="14" xr3:uid="{A2EB5E12-7DFB-4AF6-ABF6-64DE0F2A7E38}" name="Output 3" dataDxfId="3"/>
    <tableColumn id="16" xr3:uid="{5F99CBCA-1847-4D81-B463-7F93A148DC61}" name="Output 4" dataDxfId="2"/>
    <tableColumn id="5" xr3:uid="{98CD4928-14BC-4E57-AE64-3FBFBD717C26}" name="Definition" dataDxfId="1"/>
    <tableColumn id="6" xr3:uid="{665B41F5-B935-4995-BAF6-9D08386EE179}" name="Process Own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printerSettings" Target="../printerSettings/printerSettings5.bin"/><Relationship Id="rId1" Type="http://schemas.openxmlformats.org/officeDocument/2006/relationships/hyperlink" Target="mailto:theo.veenstra@aureliusenterprise.co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hyperlink" Target="mailto:todd.gras@aureliusenterprise.com" TargetMode="External"/><Relationship Id="rId3" Type="http://schemas.openxmlformats.org/officeDocument/2006/relationships/hyperlink" Target="mailto:theo.veenstra@aureliusenterprise.com" TargetMode="External"/><Relationship Id="rId7" Type="http://schemas.openxmlformats.org/officeDocument/2006/relationships/hyperlink" Target="mailto:john.ross@aureliusenterprise.com" TargetMode="External"/><Relationship Id="rId2" Type="http://schemas.openxmlformats.org/officeDocument/2006/relationships/hyperlink" Target="mailto:jeremy.deboer@aureliusenterprise.com" TargetMode="External"/><Relationship Id="rId1" Type="http://schemas.openxmlformats.org/officeDocument/2006/relationships/hyperlink" Target="mailto:abe.rietsma@aureliusenterprise.com" TargetMode="External"/><Relationship Id="rId6" Type="http://schemas.openxmlformats.org/officeDocument/2006/relationships/hyperlink" Target="mailto:maarten.driesens@aureliusenterprise.com" TargetMode="External"/><Relationship Id="rId11" Type="http://schemas.openxmlformats.org/officeDocument/2006/relationships/table" Target="../tables/table9.xml"/><Relationship Id="rId5" Type="http://schemas.openxmlformats.org/officeDocument/2006/relationships/hyperlink" Target="mailto:jan.dejong@aureliusenterprise.com" TargetMode="External"/><Relationship Id="rId10" Type="http://schemas.openxmlformats.org/officeDocument/2006/relationships/hyperlink" Target="mailto:johan.kooistra@aureliusenterprise.com" TargetMode="External"/><Relationship Id="rId4" Type="http://schemas.openxmlformats.org/officeDocument/2006/relationships/hyperlink" Target="mailto:jarek.costa@aureliusenterprise.com" TargetMode="External"/><Relationship Id="rId9" Type="http://schemas.openxmlformats.org/officeDocument/2006/relationships/hyperlink" Target="mailto:laurens.franck@aureliusenterprise.com" TargetMode="External"/></Relationships>
</file>

<file path=xl/worksheets/_rels/sheet13.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EE45A-ADD7-445D-8EAF-F2E91A1C20DE}">
  <sheetPr codeName="Sheet1"/>
  <dimension ref="A1:N31"/>
  <sheetViews>
    <sheetView zoomScale="80" zoomScaleNormal="80" workbookViewId="0">
      <selection activeCell="C15" sqref="C15:L15"/>
    </sheetView>
  </sheetViews>
  <sheetFormatPr defaultRowHeight="14.4" x14ac:dyDescent="0.3"/>
  <sheetData>
    <row r="1" spans="1:14" x14ac:dyDescent="0.3">
      <c r="A1" s="6"/>
      <c r="B1" s="6"/>
      <c r="C1" s="6"/>
      <c r="D1" s="6"/>
      <c r="E1" s="6"/>
      <c r="F1" s="6"/>
      <c r="G1" s="6"/>
      <c r="H1" s="6"/>
      <c r="I1" s="6"/>
      <c r="J1" s="6"/>
      <c r="K1" s="6"/>
      <c r="L1" s="6"/>
      <c r="M1" s="6"/>
      <c r="N1" s="6"/>
    </row>
    <row r="2" spans="1:14" x14ac:dyDescent="0.3">
      <c r="A2" s="6"/>
      <c r="B2" s="6"/>
      <c r="C2" s="6"/>
      <c r="D2" s="6"/>
      <c r="E2" s="6"/>
      <c r="F2" s="6"/>
      <c r="G2" s="6"/>
      <c r="H2" s="6"/>
      <c r="I2" s="6"/>
      <c r="J2" s="6"/>
      <c r="K2" s="6"/>
      <c r="L2" s="6"/>
      <c r="M2" s="6"/>
      <c r="N2" s="6"/>
    </row>
    <row r="3" spans="1:14" x14ac:dyDescent="0.3">
      <c r="A3" s="6"/>
      <c r="B3" s="3"/>
      <c r="C3" s="4"/>
      <c r="D3" s="4"/>
      <c r="E3" s="4"/>
      <c r="F3" s="4"/>
      <c r="G3" s="4"/>
      <c r="H3" s="4"/>
      <c r="I3" s="4"/>
      <c r="J3" s="4"/>
      <c r="K3" s="4"/>
      <c r="L3" s="4"/>
      <c r="M3" s="5"/>
      <c r="N3" s="6"/>
    </row>
    <row r="4" spans="1:14" x14ac:dyDescent="0.3">
      <c r="A4" s="6"/>
      <c r="B4" s="37"/>
      <c r="C4" s="6"/>
      <c r="D4" s="6"/>
      <c r="E4" s="6"/>
      <c r="F4" s="6"/>
      <c r="G4" s="6"/>
      <c r="H4" s="6"/>
      <c r="I4" s="6"/>
      <c r="J4" s="6"/>
      <c r="K4" s="6"/>
      <c r="L4" s="6"/>
      <c r="M4" s="7"/>
      <c r="N4" s="6"/>
    </row>
    <row r="5" spans="1:14" x14ac:dyDescent="0.3">
      <c r="A5" s="6"/>
      <c r="B5" s="8"/>
      <c r="C5" s="6"/>
      <c r="D5" s="6"/>
      <c r="E5" s="6"/>
      <c r="F5" s="6"/>
      <c r="G5" s="6"/>
      <c r="H5" s="6"/>
      <c r="I5" s="6"/>
      <c r="J5" s="6"/>
      <c r="K5" s="6"/>
      <c r="L5" s="6"/>
      <c r="M5" s="7"/>
      <c r="N5" s="6"/>
    </row>
    <row r="6" spans="1:14" x14ac:dyDescent="0.3">
      <c r="A6" s="6"/>
      <c r="B6" s="8"/>
      <c r="C6" s="6"/>
      <c r="D6" s="6"/>
      <c r="E6" s="6"/>
      <c r="F6" s="6"/>
      <c r="G6" s="6"/>
      <c r="H6" s="6"/>
      <c r="I6" s="6"/>
      <c r="J6" s="6"/>
      <c r="K6" s="6"/>
      <c r="L6" s="6"/>
      <c r="M6" s="7"/>
      <c r="N6" s="6"/>
    </row>
    <row r="7" spans="1:14" x14ac:dyDescent="0.3">
      <c r="A7" s="6"/>
      <c r="B7" s="8"/>
      <c r="C7" s="6"/>
      <c r="D7" s="6"/>
      <c r="E7" s="6"/>
      <c r="F7" s="6"/>
      <c r="G7" s="6"/>
      <c r="H7" s="6"/>
      <c r="I7" s="6"/>
      <c r="J7" s="6"/>
      <c r="K7" s="6"/>
      <c r="L7" s="6"/>
      <c r="M7" s="7"/>
      <c r="N7" s="6"/>
    </row>
    <row r="8" spans="1:14" x14ac:dyDescent="0.3">
      <c r="A8" s="6"/>
      <c r="B8" s="8"/>
      <c r="C8" s="6"/>
      <c r="D8" s="6"/>
      <c r="E8" s="6"/>
      <c r="F8" s="6"/>
      <c r="G8" s="6"/>
      <c r="H8" s="6"/>
      <c r="I8" s="6"/>
      <c r="J8" s="6"/>
      <c r="K8" s="6"/>
      <c r="L8" s="6"/>
      <c r="M8" s="7"/>
      <c r="N8" s="6"/>
    </row>
    <row r="9" spans="1:14" x14ac:dyDescent="0.3">
      <c r="A9" s="6"/>
      <c r="B9" s="8"/>
      <c r="C9" s="6"/>
      <c r="D9" s="6"/>
      <c r="E9" s="6"/>
      <c r="F9" s="6"/>
      <c r="G9" s="6"/>
      <c r="H9" s="6"/>
      <c r="I9" s="6"/>
      <c r="J9" s="6"/>
      <c r="K9" s="6"/>
      <c r="L9" s="6"/>
      <c r="M9" s="7"/>
      <c r="N9" s="6"/>
    </row>
    <row r="10" spans="1:14" ht="15" thickBot="1" x14ac:dyDescent="0.35">
      <c r="A10" s="6"/>
      <c r="B10" s="8"/>
      <c r="C10" s="6"/>
      <c r="D10" s="6"/>
      <c r="E10" s="6"/>
      <c r="F10" s="6"/>
      <c r="G10" s="6"/>
      <c r="H10" s="6"/>
      <c r="I10" s="6"/>
      <c r="J10" s="6"/>
      <c r="K10" s="6"/>
      <c r="L10" s="6"/>
      <c r="M10" s="7"/>
      <c r="N10" s="6"/>
    </row>
    <row r="11" spans="1:14" ht="58.2" x14ac:dyDescent="0.85">
      <c r="A11" s="6"/>
      <c r="B11" s="8"/>
      <c r="C11" s="99" t="s">
        <v>0</v>
      </c>
      <c r="D11" s="100"/>
      <c r="E11" s="100"/>
      <c r="F11" s="100"/>
      <c r="G11" s="100"/>
      <c r="H11" s="100"/>
      <c r="I11" s="100"/>
      <c r="J11" s="100"/>
      <c r="K11" s="100"/>
      <c r="L11" s="101"/>
      <c r="M11" s="7"/>
      <c r="N11" s="6"/>
    </row>
    <row r="12" spans="1:14" x14ac:dyDescent="0.3">
      <c r="A12" s="6"/>
      <c r="B12" s="8"/>
      <c r="C12" s="38"/>
      <c r="D12" s="6"/>
      <c r="E12" s="6"/>
      <c r="F12" s="6"/>
      <c r="G12" s="6"/>
      <c r="H12" s="6"/>
      <c r="I12" s="6"/>
      <c r="J12" s="6"/>
      <c r="K12" s="6"/>
      <c r="L12" s="39"/>
      <c r="M12" s="7"/>
      <c r="N12" s="6"/>
    </row>
    <row r="13" spans="1:14" x14ac:dyDescent="0.3">
      <c r="A13" s="6"/>
      <c r="B13" s="8"/>
      <c r="C13" s="38"/>
      <c r="D13" s="6"/>
      <c r="E13" s="6"/>
      <c r="F13" s="6"/>
      <c r="G13" s="6"/>
      <c r="H13" s="6"/>
      <c r="I13" s="6"/>
      <c r="J13" s="6"/>
      <c r="K13" s="6"/>
      <c r="L13" s="39"/>
      <c r="M13" s="7"/>
      <c r="N13" s="6"/>
    </row>
    <row r="14" spans="1:14" ht="35.4" x14ac:dyDescent="0.6">
      <c r="A14" s="6"/>
      <c r="B14" s="8"/>
      <c r="C14" s="102"/>
      <c r="D14" s="103"/>
      <c r="E14" s="103"/>
      <c r="F14" s="103"/>
      <c r="G14" s="103"/>
      <c r="H14" s="103"/>
      <c r="I14" s="103"/>
      <c r="J14" s="103"/>
      <c r="K14" s="103"/>
      <c r="L14" s="104"/>
      <c r="M14" s="7"/>
      <c r="N14" s="6"/>
    </row>
    <row r="15" spans="1:14" ht="31.8" x14ac:dyDescent="0.5">
      <c r="A15" s="6"/>
      <c r="B15" s="8"/>
      <c r="C15" s="105"/>
      <c r="D15" s="106"/>
      <c r="E15" s="106"/>
      <c r="F15" s="106"/>
      <c r="G15" s="106"/>
      <c r="H15" s="106"/>
      <c r="I15" s="106"/>
      <c r="J15" s="106"/>
      <c r="K15" s="106"/>
      <c r="L15" s="107"/>
      <c r="M15" s="7"/>
      <c r="N15" s="6"/>
    </row>
    <row r="16" spans="1:14" ht="15" thickBot="1" x14ac:dyDescent="0.35">
      <c r="A16" s="6"/>
      <c r="B16" s="8"/>
      <c r="C16" s="40"/>
      <c r="D16" s="41"/>
      <c r="E16" s="41"/>
      <c r="F16" s="41"/>
      <c r="G16" s="41"/>
      <c r="H16" s="41"/>
      <c r="I16" s="41"/>
      <c r="J16" s="41"/>
      <c r="K16" s="41"/>
      <c r="L16" s="42"/>
      <c r="M16" s="7"/>
      <c r="N16" s="6"/>
    </row>
    <row r="17" spans="1:14" x14ac:dyDescent="0.3">
      <c r="A17" s="6"/>
      <c r="B17" s="8"/>
      <c r="C17" s="6"/>
      <c r="D17" s="6"/>
      <c r="E17" s="6"/>
      <c r="F17" s="6"/>
      <c r="G17" s="6"/>
      <c r="H17" s="6"/>
      <c r="I17" s="6"/>
      <c r="J17" s="6"/>
      <c r="K17" s="6"/>
      <c r="L17" s="6"/>
      <c r="M17" s="7"/>
      <c r="N17" s="6"/>
    </row>
    <row r="18" spans="1:14" x14ac:dyDescent="0.3">
      <c r="A18" s="6"/>
      <c r="B18" s="8"/>
      <c r="C18" s="6"/>
      <c r="D18" s="6"/>
      <c r="E18" s="6"/>
      <c r="F18" s="6"/>
      <c r="G18" s="6"/>
      <c r="H18" s="6"/>
      <c r="I18" s="6"/>
      <c r="J18" s="6"/>
      <c r="K18" s="6"/>
      <c r="L18" s="6"/>
      <c r="M18" s="7"/>
      <c r="N18" s="6"/>
    </row>
    <row r="19" spans="1:14" x14ac:dyDescent="0.3">
      <c r="A19" s="6"/>
      <c r="B19" s="8"/>
      <c r="C19" s="6"/>
      <c r="D19" s="6"/>
      <c r="E19" s="6"/>
      <c r="F19" s="6"/>
      <c r="G19" s="6"/>
      <c r="H19" s="6"/>
      <c r="I19" s="6"/>
      <c r="J19" s="6"/>
      <c r="K19" s="6"/>
      <c r="L19" s="6"/>
      <c r="M19" s="7"/>
      <c r="N19" s="6"/>
    </row>
    <row r="20" spans="1:14" x14ac:dyDescent="0.3">
      <c r="A20" s="6"/>
      <c r="B20" s="8"/>
      <c r="C20" s="6"/>
      <c r="D20" s="6"/>
      <c r="E20" s="6"/>
      <c r="F20" s="6"/>
      <c r="G20" s="6"/>
      <c r="H20" s="6"/>
      <c r="I20" s="6"/>
      <c r="J20" s="6"/>
      <c r="K20" s="6"/>
      <c r="L20" s="6"/>
      <c r="M20" s="7"/>
      <c r="N20" s="6"/>
    </row>
    <row r="21" spans="1:14" x14ac:dyDescent="0.3">
      <c r="A21" s="6"/>
      <c r="B21" s="8"/>
      <c r="C21" s="6"/>
      <c r="D21" s="6"/>
      <c r="E21" s="6"/>
      <c r="F21" s="6"/>
      <c r="G21" s="6"/>
      <c r="H21" s="6"/>
      <c r="I21" s="6"/>
      <c r="J21" s="6"/>
      <c r="K21" s="6"/>
      <c r="L21" s="6"/>
      <c r="M21" s="7"/>
      <c r="N21" s="6"/>
    </row>
    <row r="22" spans="1:14" x14ac:dyDescent="0.3">
      <c r="A22" s="6"/>
      <c r="B22" s="8"/>
      <c r="C22" s="6"/>
      <c r="D22" s="6"/>
      <c r="E22" s="6"/>
      <c r="F22" s="6"/>
      <c r="G22" s="6"/>
      <c r="H22" s="6"/>
      <c r="I22" s="6"/>
      <c r="J22" s="6"/>
      <c r="K22" s="6"/>
      <c r="L22" s="6"/>
      <c r="M22" s="7"/>
      <c r="N22" s="6"/>
    </row>
    <row r="23" spans="1:14" x14ac:dyDescent="0.3">
      <c r="A23" s="6"/>
      <c r="B23" s="8"/>
      <c r="C23" s="6"/>
      <c r="D23" s="6"/>
      <c r="E23" s="6"/>
      <c r="F23" s="6"/>
      <c r="G23" s="6"/>
      <c r="H23" s="6"/>
      <c r="I23" s="6"/>
      <c r="J23" s="6"/>
      <c r="K23" s="6"/>
      <c r="L23" s="6"/>
      <c r="M23" s="7"/>
      <c r="N23" s="6"/>
    </row>
    <row r="24" spans="1:14" x14ac:dyDescent="0.3">
      <c r="A24" s="6"/>
      <c r="B24" s="8"/>
      <c r="C24" s="6"/>
      <c r="D24" s="6"/>
      <c r="E24" s="6"/>
      <c r="F24" s="6"/>
      <c r="G24" s="6"/>
      <c r="H24" s="6"/>
      <c r="I24" s="6"/>
      <c r="J24" s="6"/>
      <c r="K24" s="6"/>
      <c r="L24" s="6"/>
      <c r="M24" s="7"/>
      <c r="N24" s="6"/>
    </row>
    <row r="25" spans="1:14" x14ac:dyDescent="0.3">
      <c r="A25" s="6"/>
      <c r="B25" s="8"/>
      <c r="C25" s="6"/>
      <c r="D25" s="6"/>
      <c r="E25" s="6"/>
      <c r="F25" s="6"/>
      <c r="G25" s="6"/>
      <c r="H25" s="6"/>
      <c r="I25" s="6"/>
      <c r="J25" s="6"/>
      <c r="K25" s="6"/>
      <c r="L25" s="6"/>
      <c r="M25" s="7"/>
      <c r="N25" s="6"/>
    </row>
    <row r="26" spans="1:14" x14ac:dyDescent="0.3">
      <c r="A26" s="6"/>
      <c r="B26" s="8"/>
      <c r="C26" s="6"/>
      <c r="D26" s="6"/>
      <c r="E26" s="6"/>
      <c r="F26" s="6"/>
      <c r="G26" s="6"/>
      <c r="H26" s="6"/>
      <c r="I26" s="6"/>
      <c r="J26" s="6"/>
      <c r="K26" s="6"/>
      <c r="L26" s="6"/>
      <c r="M26" s="7"/>
      <c r="N26" s="6"/>
    </row>
    <row r="27" spans="1:14" x14ac:dyDescent="0.3">
      <c r="A27" s="6"/>
      <c r="B27" s="8"/>
      <c r="C27" s="6"/>
      <c r="D27" s="6"/>
      <c r="E27" s="6"/>
      <c r="F27" s="6"/>
      <c r="G27" s="6"/>
      <c r="H27" s="6"/>
      <c r="I27" s="6"/>
      <c r="J27" s="6"/>
      <c r="K27" s="6"/>
      <c r="L27" s="6"/>
      <c r="M27" s="7"/>
      <c r="N27" s="6"/>
    </row>
    <row r="28" spans="1:14" x14ac:dyDescent="0.3">
      <c r="A28" s="6"/>
      <c r="B28" s="8"/>
      <c r="C28" s="6"/>
      <c r="D28" s="6"/>
      <c r="E28" s="6"/>
      <c r="F28" s="6"/>
      <c r="G28" s="6"/>
      <c r="H28" s="6"/>
      <c r="I28" s="6"/>
      <c r="J28" s="6"/>
      <c r="K28" s="6"/>
      <c r="L28" s="6"/>
      <c r="M28" s="7"/>
      <c r="N28" s="6"/>
    </row>
    <row r="29" spans="1:14" x14ac:dyDescent="0.3">
      <c r="A29" s="6"/>
      <c r="B29" s="8"/>
      <c r="C29" s="43" t="s">
        <v>135</v>
      </c>
      <c r="D29" s="6"/>
      <c r="E29" s="6"/>
      <c r="F29" s="6"/>
      <c r="G29" s="6"/>
      <c r="H29" s="6"/>
      <c r="I29" s="6"/>
      <c r="J29" s="6"/>
      <c r="K29" s="6"/>
      <c r="L29" s="6"/>
      <c r="M29" s="7"/>
      <c r="N29" s="6"/>
    </row>
    <row r="30" spans="1:14" x14ac:dyDescent="0.3">
      <c r="A30" s="6"/>
      <c r="B30" s="9"/>
      <c r="C30" s="10"/>
      <c r="D30" s="10"/>
      <c r="E30" s="10"/>
      <c r="F30" s="10"/>
      <c r="G30" s="10"/>
      <c r="H30" s="10"/>
      <c r="I30" s="10"/>
      <c r="J30" s="10"/>
      <c r="K30" s="10"/>
      <c r="L30" s="10"/>
      <c r="M30" s="11"/>
      <c r="N30" s="6"/>
    </row>
    <row r="31" spans="1:14" x14ac:dyDescent="0.3">
      <c r="A31" s="6"/>
      <c r="B31" s="6"/>
      <c r="C31" s="6"/>
      <c r="D31" s="6"/>
      <c r="E31" s="6"/>
      <c r="F31" s="6"/>
      <c r="G31" s="6"/>
      <c r="H31" s="6"/>
      <c r="I31" s="6"/>
      <c r="J31" s="6"/>
      <c r="K31" s="6"/>
      <c r="L31" s="6"/>
      <c r="M31" s="6"/>
      <c r="N31" s="6"/>
    </row>
  </sheetData>
  <mergeCells count="3">
    <mergeCell ref="C11:L11"/>
    <mergeCell ref="C14:L14"/>
    <mergeCell ref="C15:L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48B95-B9C3-49E8-ADC8-35DA6C221484}">
  <sheetPr codeName="Sheet2"/>
  <dimension ref="A1:N26"/>
  <sheetViews>
    <sheetView topLeftCell="A3" zoomScale="70" zoomScaleNormal="70" workbookViewId="0">
      <selection activeCell="H8" sqref="H8:L8"/>
    </sheetView>
  </sheetViews>
  <sheetFormatPr defaultRowHeight="14.4" x14ac:dyDescent="0.3"/>
  <cols>
    <col min="4" max="4" width="12.77734375" bestFit="1" customWidth="1"/>
  </cols>
  <sheetData>
    <row r="1" spans="1:14" x14ac:dyDescent="0.3">
      <c r="A1" s="44"/>
      <c r="B1" s="44"/>
      <c r="C1" s="44"/>
      <c r="D1" s="44"/>
      <c r="E1" s="44"/>
      <c r="F1" s="44"/>
      <c r="G1" s="44"/>
      <c r="H1" s="44"/>
      <c r="I1" s="44"/>
      <c r="J1" s="44"/>
      <c r="K1" s="44"/>
      <c r="L1" s="44"/>
      <c r="M1" s="44"/>
      <c r="N1" s="44"/>
    </row>
    <row r="2" spans="1:14" x14ac:dyDescent="0.3">
      <c r="A2" s="44"/>
      <c r="B2" s="44"/>
      <c r="C2" s="44"/>
      <c r="D2" s="44"/>
      <c r="E2" s="44"/>
      <c r="F2" s="44"/>
      <c r="G2" s="44"/>
      <c r="H2" s="44"/>
      <c r="I2" s="44"/>
      <c r="J2" s="44"/>
      <c r="K2" s="44"/>
      <c r="L2" s="44"/>
      <c r="M2" s="44"/>
      <c r="N2" s="44"/>
    </row>
    <row r="3" spans="1:14" x14ac:dyDescent="0.3">
      <c r="A3" s="44"/>
      <c r="B3" s="45"/>
      <c r="C3" s="46"/>
      <c r="D3" s="46"/>
      <c r="E3" s="46"/>
      <c r="F3" s="46"/>
      <c r="G3" s="46"/>
      <c r="H3" s="46"/>
      <c r="I3" s="46"/>
      <c r="J3" s="46"/>
      <c r="K3" s="46"/>
      <c r="L3" s="46"/>
      <c r="M3" s="47"/>
      <c r="N3" s="44"/>
    </row>
    <row r="4" spans="1:14" ht="31.8" x14ac:dyDescent="0.5">
      <c r="A4" s="44"/>
      <c r="B4" s="48"/>
      <c r="C4" s="49" t="s">
        <v>1</v>
      </c>
      <c r="D4" s="44"/>
      <c r="E4" s="44"/>
      <c r="F4" s="44"/>
      <c r="G4" s="44"/>
      <c r="H4" s="44"/>
      <c r="I4" s="44"/>
      <c r="J4" s="44"/>
      <c r="K4" s="44"/>
      <c r="L4" s="44"/>
      <c r="M4" s="50"/>
      <c r="N4" s="44"/>
    </row>
    <row r="5" spans="1:14" x14ac:dyDescent="0.3">
      <c r="A5" s="44"/>
      <c r="B5" s="48"/>
      <c r="C5" s="44"/>
      <c r="D5" s="44"/>
      <c r="E5" s="44"/>
      <c r="F5" s="44"/>
      <c r="G5" s="44"/>
      <c r="H5" s="44"/>
      <c r="I5" s="44"/>
      <c r="J5" s="44"/>
      <c r="K5" s="44"/>
      <c r="L5" s="44"/>
      <c r="M5" s="50"/>
      <c r="N5" s="44"/>
    </row>
    <row r="6" spans="1:14" x14ac:dyDescent="0.3">
      <c r="A6" s="44"/>
      <c r="B6" s="48"/>
      <c r="C6" s="44"/>
      <c r="D6" s="44"/>
      <c r="E6" s="44"/>
      <c r="F6" s="44"/>
      <c r="G6" s="44"/>
      <c r="H6" s="44"/>
      <c r="I6" s="44"/>
      <c r="J6" s="44"/>
      <c r="K6" s="44"/>
      <c r="L6" s="44"/>
      <c r="M6" s="50"/>
      <c r="N6" s="44"/>
    </row>
    <row r="7" spans="1:14" ht="17.399999999999999" x14ac:dyDescent="0.3">
      <c r="A7" s="44"/>
      <c r="B7" s="48"/>
      <c r="C7" s="51" t="s">
        <v>2</v>
      </c>
      <c r="D7" s="52" t="s">
        <v>3</v>
      </c>
      <c r="E7" s="119" t="s">
        <v>4</v>
      </c>
      <c r="F7" s="119"/>
      <c r="G7" s="119"/>
      <c r="H7" s="119" t="s">
        <v>5</v>
      </c>
      <c r="I7" s="119"/>
      <c r="J7" s="119"/>
      <c r="K7" s="119"/>
      <c r="L7" s="120"/>
      <c r="M7" s="50"/>
      <c r="N7" s="44"/>
    </row>
    <row r="8" spans="1:14" ht="26.55" customHeight="1" x14ac:dyDescent="0.3">
      <c r="A8" s="44"/>
      <c r="B8" s="48"/>
      <c r="C8" s="53" t="s">
        <v>6</v>
      </c>
      <c r="D8" s="60">
        <v>45588</v>
      </c>
      <c r="E8" s="121" t="s">
        <v>269</v>
      </c>
      <c r="F8" s="121"/>
      <c r="G8" s="121"/>
      <c r="H8" s="117" t="s">
        <v>7</v>
      </c>
      <c r="I8" s="117"/>
      <c r="J8" s="117"/>
      <c r="K8" s="117"/>
      <c r="L8" s="118"/>
      <c r="M8" s="50"/>
      <c r="N8" s="44"/>
    </row>
    <row r="9" spans="1:14" ht="89.55" customHeight="1" x14ac:dyDescent="0.3">
      <c r="A9" s="44"/>
      <c r="B9" s="48"/>
      <c r="C9" s="53"/>
      <c r="D9" s="60"/>
      <c r="E9" s="115"/>
      <c r="F9" s="115"/>
      <c r="G9" s="115"/>
      <c r="H9" s="110"/>
      <c r="I9" s="110"/>
      <c r="J9" s="110"/>
      <c r="K9" s="110"/>
      <c r="L9" s="111"/>
      <c r="M9" s="50"/>
      <c r="N9" s="44"/>
    </row>
    <row r="10" spans="1:14" ht="57.6" customHeight="1" x14ac:dyDescent="0.3">
      <c r="A10" s="44"/>
      <c r="B10" s="48"/>
      <c r="C10" s="53"/>
      <c r="D10" s="60"/>
      <c r="E10" s="109"/>
      <c r="F10" s="109"/>
      <c r="G10" s="109"/>
      <c r="H10" s="110"/>
      <c r="I10" s="110"/>
      <c r="J10" s="110"/>
      <c r="K10" s="110"/>
      <c r="L10" s="111"/>
      <c r="M10" s="50"/>
      <c r="N10" s="44"/>
    </row>
    <row r="11" spans="1:14" ht="87.6" customHeight="1" x14ac:dyDescent="0.3">
      <c r="A11" s="44"/>
      <c r="B11" s="48"/>
      <c r="C11" s="53"/>
      <c r="D11" s="60"/>
      <c r="E11" s="109"/>
      <c r="F11" s="109"/>
      <c r="G11" s="109"/>
      <c r="H11" s="110"/>
      <c r="I11" s="110"/>
      <c r="J11" s="110"/>
      <c r="K11" s="110"/>
      <c r="L11" s="111"/>
      <c r="M11" s="50"/>
      <c r="N11" s="44"/>
    </row>
    <row r="12" spans="1:14" ht="90.6" customHeight="1" x14ac:dyDescent="0.3">
      <c r="A12" s="44"/>
      <c r="B12" s="48"/>
      <c r="C12" s="53"/>
      <c r="D12" s="60"/>
      <c r="E12" s="115"/>
      <c r="F12" s="115"/>
      <c r="G12" s="115"/>
      <c r="H12" s="117"/>
      <c r="I12" s="117"/>
      <c r="J12" s="117"/>
      <c r="K12" s="117"/>
      <c r="L12" s="118"/>
      <c r="M12" s="50"/>
      <c r="N12" s="44"/>
    </row>
    <row r="13" spans="1:14" ht="53.55" customHeight="1" x14ac:dyDescent="0.3">
      <c r="A13" s="44"/>
      <c r="B13" s="48"/>
      <c r="C13" s="53"/>
      <c r="D13" s="60"/>
      <c r="E13" s="115"/>
      <c r="F13" s="115"/>
      <c r="G13" s="115"/>
      <c r="H13" s="110"/>
      <c r="I13" s="110"/>
      <c r="J13" s="110"/>
      <c r="K13" s="110"/>
      <c r="L13" s="111"/>
      <c r="M13" s="50"/>
      <c r="N13" s="44"/>
    </row>
    <row r="14" spans="1:14" ht="55.5" customHeight="1" x14ac:dyDescent="0.3">
      <c r="A14" s="44"/>
      <c r="B14" s="48"/>
      <c r="C14" s="53"/>
      <c r="D14" s="60"/>
      <c r="E14" s="116"/>
      <c r="F14" s="116"/>
      <c r="G14" s="116"/>
      <c r="H14" s="110"/>
      <c r="I14" s="110"/>
      <c r="J14" s="110"/>
      <c r="K14" s="110"/>
      <c r="L14" s="111"/>
      <c r="M14" s="50"/>
      <c r="N14" s="44"/>
    </row>
    <row r="15" spans="1:14" ht="46.5" customHeight="1" x14ac:dyDescent="0.3">
      <c r="A15" s="44"/>
      <c r="B15" s="48"/>
      <c r="C15" s="53"/>
      <c r="D15" s="60"/>
      <c r="E15" s="109"/>
      <c r="F15" s="109"/>
      <c r="G15" s="109"/>
      <c r="H15" s="110"/>
      <c r="I15" s="110"/>
      <c r="J15" s="110"/>
      <c r="K15" s="110"/>
      <c r="L15" s="111"/>
      <c r="M15" s="50"/>
      <c r="N15" s="44"/>
    </row>
    <row r="16" spans="1:14" ht="102.6" customHeight="1" x14ac:dyDescent="0.3">
      <c r="A16" s="54" t="s">
        <v>8</v>
      </c>
      <c r="B16" s="48"/>
      <c r="C16" s="53"/>
      <c r="D16" s="60"/>
      <c r="E16" s="109"/>
      <c r="F16" s="109"/>
      <c r="G16" s="109"/>
      <c r="H16" s="110"/>
      <c r="I16" s="110"/>
      <c r="J16" s="110"/>
      <c r="K16" s="110"/>
      <c r="L16" s="111"/>
      <c r="M16" s="50"/>
      <c r="N16" s="44"/>
    </row>
    <row r="17" spans="1:14" ht="45.6" customHeight="1" x14ac:dyDescent="0.3">
      <c r="A17" s="44"/>
      <c r="B17" s="48"/>
      <c r="C17" s="53"/>
      <c r="D17" s="60"/>
      <c r="E17" s="109"/>
      <c r="F17" s="109"/>
      <c r="G17" s="109"/>
      <c r="H17" s="110"/>
      <c r="I17" s="110"/>
      <c r="J17" s="110"/>
      <c r="K17" s="110"/>
      <c r="L17" s="111"/>
      <c r="M17" s="50"/>
      <c r="N17" s="44"/>
    </row>
    <row r="18" spans="1:14" ht="116.55" customHeight="1" x14ac:dyDescent="0.3">
      <c r="A18" s="44"/>
      <c r="B18" s="48"/>
      <c r="C18" s="53"/>
      <c r="D18" s="60"/>
      <c r="E18" s="109"/>
      <c r="F18" s="109"/>
      <c r="G18" s="109"/>
      <c r="H18" s="110"/>
      <c r="I18" s="110"/>
      <c r="J18" s="110"/>
      <c r="K18" s="110"/>
      <c r="L18" s="111"/>
      <c r="M18" s="50"/>
      <c r="N18" s="44"/>
    </row>
    <row r="19" spans="1:14" ht="66.599999999999994" customHeight="1" x14ac:dyDescent="0.3">
      <c r="A19" s="44"/>
      <c r="B19" s="48"/>
      <c r="C19" s="53"/>
      <c r="D19" s="60"/>
      <c r="E19" s="109"/>
      <c r="F19" s="109"/>
      <c r="G19" s="109"/>
      <c r="H19" s="109"/>
      <c r="I19" s="110"/>
      <c r="J19" s="110"/>
      <c r="K19" s="110"/>
      <c r="L19" s="111"/>
      <c r="M19" s="50"/>
      <c r="N19" s="44"/>
    </row>
    <row r="20" spans="1:14" ht="55.5" customHeight="1" x14ac:dyDescent="0.3">
      <c r="A20" s="44"/>
      <c r="B20" s="48"/>
      <c r="C20" s="53"/>
      <c r="D20" s="60"/>
      <c r="E20" s="109"/>
      <c r="F20" s="109"/>
      <c r="G20" s="109"/>
      <c r="H20" s="110"/>
      <c r="I20" s="110"/>
      <c r="J20" s="110"/>
      <c r="K20" s="110"/>
      <c r="L20" s="111"/>
      <c r="M20" s="50"/>
      <c r="N20" s="44"/>
    </row>
    <row r="21" spans="1:14" ht="51" customHeight="1" x14ac:dyDescent="0.3">
      <c r="A21" s="44"/>
      <c r="B21" s="48"/>
      <c r="C21" s="55"/>
      <c r="D21" s="56"/>
      <c r="E21" s="112"/>
      <c r="F21" s="112"/>
      <c r="G21" s="112"/>
      <c r="H21" s="113"/>
      <c r="I21" s="113"/>
      <c r="J21" s="113"/>
      <c r="K21" s="113"/>
      <c r="L21" s="114"/>
      <c r="M21" s="50"/>
      <c r="N21" s="44"/>
    </row>
    <row r="22" spans="1:14" x14ac:dyDescent="0.3">
      <c r="A22" s="44"/>
      <c r="B22" s="48"/>
      <c r="C22" s="64"/>
      <c r="D22" s="64"/>
      <c r="E22" s="108"/>
      <c r="F22" s="108"/>
      <c r="G22" s="108"/>
      <c r="H22" s="108"/>
      <c r="I22" s="108"/>
      <c r="J22" s="108"/>
      <c r="K22" s="108"/>
      <c r="L22" s="108"/>
      <c r="M22" s="50"/>
      <c r="N22" s="44"/>
    </row>
    <row r="23" spans="1:14" x14ac:dyDescent="0.3">
      <c r="A23" s="44"/>
      <c r="B23" s="48"/>
      <c r="C23" s="64"/>
      <c r="D23" s="64"/>
      <c r="E23" s="108"/>
      <c r="F23" s="108"/>
      <c r="G23" s="108"/>
      <c r="H23" s="108"/>
      <c r="I23" s="108"/>
      <c r="J23" s="108"/>
      <c r="K23" s="108"/>
      <c r="L23" s="108"/>
      <c r="M23" s="50"/>
      <c r="N23" s="44"/>
    </row>
    <row r="24" spans="1:14" x14ac:dyDescent="0.3">
      <c r="A24" s="44"/>
      <c r="B24" s="57"/>
      <c r="C24" s="58"/>
      <c r="D24" s="58"/>
      <c r="E24" s="58"/>
      <c r="F24" s="58"/>
      <c r="G24" s="58"/>
      <c r="H24" s="58"/>
      <c r="I24" s="58"/>
      <c r="J24" s="58"/>
      <c r="K24" s="58"/>
      <c r="L24" s="58"/>
      <c r="M24" s="59"/>
      <c r="N24" s="44"/>
    </row>
    <row r="25" spans="1:14" x14ac:dyDescent="0.3">
      <c r="A25" s="44"/>
      <c r="B25" s="44"/>
      <c r="C25" s="44"/>
      <c r="D25" s="44"/>
      <c r="E25" s="44"/>
      <c r="F25" s="44"/>
      <c r="G25" s="44"/>
      <c r="H25" s="44"/>
      <c r="I25" s="44"/>
      <c r="J25" s="44"/>
      <c r="K25" s="44"/>
      <c r="L25" s="44"/>
      <c r="M25" s="44"/>
      <c r="N25" s="44"/>
    </row>
    <row r="26" spans="1:14" x14ac:dyDescent="0.3">
      <c r="A26" s="44"/>
      <c r="B26" s="44"/>
      <c r="C26" s="44"/>
      <c r="D26" s="44"/>
      <c r="E26" s="44"/>
      <c r="F26" s="44"/>
      <c r="G26" s="44"/>
      <c r="H26" s="44"/>
      <c r="I26" s="44"/>
      <c r="J26" s="44"/>
      <c r="K26" s="44"/>
      <c r="L26" s="44"/>
      <c r="M26" s="44"/>
      <c r="N26" s="44"/>
    </row>
  </sheetData>
  <mergeCells count="34">
    <mergeCell ref="E7:G7"/>
    <mergeCell ref="H7:L7"/>
    <mergeCell ref="E8:G8"/>
    <mergeCell ref="H8:L8"/>
    <mergeCell ref="E9:G9"/>
    <mergeCell ref="H9:L9"/>
    <mergeCell ref="E10:G10"/>
    <mergeCell ref="H10:L10"/>
    <mergeCell ref="E11:G11"/>
    <mergeCell ref="H11:L11"/>
    <mergeCell ref="E12:G12"/>
    <mergeCell ref="H12:L12"/>
    <mergeCell ref="E13:G13"/>
    <mergeCell ref="H13:L13"/>
    <mergeCell ref="E14:G14"/>
    <mergeCell ref="H14:L14"/>
    <mergeCell ref="E15:G15"/>
    <mergeCell ref="H15:L15"/>
    <mergeCell ref="E16:G16"/>
    <mergeCell ref="H16:L16"/>
    <mergeCell ref="E17:G17"/>
    <mergeCell ref="H17:L17"/>
    <mergeCell ref="E18:G18"/>
    <mergeCell ref="H18:L18"/>
    <mergeCell ref="E23:G23"/>
    <mergeCell ref="H23:L23"/>
    <mergeCell ref="E19:G19"/>
    <mergeCell ref="H19:L19"/>
    <mergeCell ref="E20:G20"/>
    <mergeCell ref="H20:L20"/>
    <mergeCell ref="E22:G22"/>
    <mergeCell ref="H22:L22"/>
    <mergeCell ref="E21:G21"/>
    <mergeCell ref="H21:L2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1D3A9-718F-4A05-B90D-CEBC06A45180}">
  <sheetPr codeName="Sheet3"/>
  <dimension ref="B1:S57"/>
  <sheetViews>
    <sheetView topLeftCell="C1" zoomScale="54" zoomScaleNormal="30" workbookViewId="0">
      <selection activeCell="L16" sqref="L16"/>
    </sheetView>
  </sheetViews>
  <sheetFormatPr defaultColWidth="9.21875" defaultRowHeight="14.4" x14ac:dyDescent="0.3"/>
  <cols>
    <col min="1" max="3" width="9.21875" style="6"/>
    <col min="4" max="4" width="44.77734375" style="6" customWidth="1"/>
    <col min="5" max="11" width="9.21875" style="6"/>
    <col min="12" max="12" width="39" style="6" customWidth="1"/>
    <col min="13" max="16" width="9.21875" style="6"/>
    <col min="17" max="17" width="33.5546875" bestFit="1" customWidth="1"/>
    <col min="18" max="18" width="39.44140625" bestFit="1" customWidth="1"/>
    <col min="19" max="19" width="255.5546875" bestFit="1" customWidth="1"/>
    <col min="20" max="16384" width="9.21875" style="6"/>
  </cols>
  <sheetData>
    <row r="1" spans="2:19" x14ac:dyDescent="0.3">
      <c r="B1" s="3"/>
      <c r="C1" s="4"/>
      <c r="D1" s="4"/>
      <c r="E1" s="4"/>
      <c r="F1" s="4"/>
      <c r="G1" s="4"/>
      <c r="H1" s="4"/>
      <c r="I1" s="4"/>
      <c r="J1" s="4"/>
      <c r="K1" s="4"/>
      <c r="L1" s="4"/>
      <c r="M1" s="4"/>
      <c r="N1" s="4"/>
      <c r="O1" s="5"/>
      <c r="Q1" t="s">
        <v>9</v>
      </c>
      <c r="R1" t="s">
        <v>10</v>
      </c>
      <c r="S1" t="s">
        <v>11</v>
      </c>
    </row>
    <row r="2" spans="2:19" x14ac:dyDescent="0.3">
      <c r="B2" s="8"/>
      <c r="O2" s="7"/>
      <c r="Q2" t="s">
        <v>12</v>
      </c>
      <c r="R2" s="20" t="s">
        <v>13</v>
      </c>
      <c r="S2" t="s">
        <v>14</v>
      </c>
    </row>
    <row r="3" spans="2:19" ht="34.799999999999997" x14ac:dyDescent="0.55000000000000004">
      <c r="B3" s="8"/>
      <c r="C3" s="12" t="s">
        <v>15</v>
      </c>
      <c r="D3" s="13"/>
      <c r="E3" s="13"/>
      <c r="O3" s="7"/>
      <c r="Q3" t="s">
        <v>12</v>
      </c>
      <c r="R3" s="20" t="s">
        <v>16</v>
      </c>
      <c r="S3" t="s">
        <v>17</v>
      </c>
    </row>
    <row r="4" spans="2:19" x14ac:dyDescent="0.3">
      <c r="B4" s="8"/>
      <c r="O4" s="7"/>
      <c r="Q4" t="s">
        <v>12</v>
      </c>
      <c r="R4" s="20" t="s">
        <v>18</v>
      </c>
      <c r="S4" t="s">
        <v>19</v>
      </c>
    </row>
    <row r="5" spans="2:19" ht="14.55" customHeight="1" x14ac:dyDescent="0.3">
      <c r="B5" s="8"/>
      <c r="C5" s="122" t="s">
        <v>20</v>
      </c>
      <c r="D5" s="122"/>
      <c r="E5" s="122"/>
      <c r="F5" s="122"/>
      <c r="G5" s="122"/>
      <c r="H5" s="122"/>
      <c r="I5" s="122"/>
      <c r="J5" s="122"/>
      <c r="K5" s="122"/>
      <c r="L5" s="122"/>
      <c r="O5" s="7"/>
      <c r="Q5" t="s">
        <v>12</v>
      </c>
      <c r="R5" s="20" t="s">
        <v>21</v>
      </c>
      <c r="S5" t="s">
        <v>22</v>
      </c>
    </row>
    <row r="6" spans="2:19" x14ac:dyDescent="0.3">
      <c r="B6" s="8"/>
      <c r="C6" s="122"/>
      <c r="D6" s="122"/>
      <c r="E6" s="122"/>
      <c r="F6" s="122"/>
      <c r="G6" s="122"/>
      <c r="H6" s="122"/>
      <c r="I6" s="122"/>
      <c r="J6" s="122"/>
      <c r="K6" s="122"/>
      <c r="L6" s="122"/>
      <c r="O6" s="7"/>
      <c r="Q6" t="s">
        <v>12</v>
      </c>
      <c r="R6" s="20" t="s">
        <v>23</v>
      </c>
      <c r="S6" t="s">
        <v>24</v>
      </c>
    </row>
    <row r="7" spans="2:19" x14ac:dyDescent="0.3">
      <c r="B7" s="8"/>
      <c r="C7" s="122"/>
      <c r="D7" s="122"/>
      <c r="E7" s="122"/>
      <c r="F7" s="122"/>
      <c r="G7" s="122"/>
      <c r="H7" s="122"/>
      <c r="I7" s="122"/>
      <c r="J7" s="122"/>
      <c r="K7" s="122"/>
      <c r="L7" s="122"/>
      <c r="O7" s="7"/>
      <c r="Q7" t="s">
        <v>25</v>
      </c>
      <c r="R7" s="21" t="s">
        <v>13</v>
      </c>
      <c r="S7" t="s">
        <v>26</v>
      </c>
    </row>
    <row r="8" spans="2:19" x14ac:dyDescent="0.3">
      <c r="B8" s="8"/>
      <c r="C8" s="122"/>
      <c r="D8" s="122"/>
      <c r="E8" s="122"/>
      <c r="F8" s="122"/>
      <c r="G8" s="122"/>
      <c r="H8" s="122"/>
      <c r="I8" s="122"/>
      <c r="J8" s="122"/>
      <c r="K8" s="122"/>
      <c r="L8" s="122"/>
      <c r="O8" s="7"/>
      <c r="Q8" t="s">
        <v>25</v>
      </c>
      <c r="R8" s="21" t="s">
        <v>27</v>
      </c>
      <c r="S8" t="s">
        <v>28</v>
      </c>
    </row>
    <row r="9" spans="2:19" ht="15" customHeight="1" x14ac:dyDescent="0.3">
      <c r="B9" s="8"/>
      <c r="C9" s="122"/>
      <c r="D9" s="122"/>
      <c r="E9" s="122"/>
      <c r="F9" s="122"/>
      <c r="G9" s="122"/>
      <c r="H9" s="122"/>
      <c r="I9" s="122"/>
      <c r="J9" s="122"/>
      <c r="K9" s="122"/>
      <c r="L9" s="122"/>
      <c r="O9" s="7"/>
      <c r="Q9" t="s">
        <v>25</v>
      </c>
      <c r="R9" s="21" t="s">
        <v>29</v>
      </c>
      <c r="S9" t="s">
        <v>30</v>
      </c>
    </row>
    <row r="10" spans="2:19" ht="17.55" customHeight="1" x14ac:dyDescent="0.3">
      <c r="B10" s="8"/>
      <c r="C10" s="122"/>
      <c r="D10" s="122"/>
      <c r="E10" s="122"/>
      <c r="F10" s="122"/>
      <c r="G10" s="122"/>
      <c r="H10" s="122"/>
      <c r="I10" s="122"/>
      <c r="J10" s="122"/>
      <c r="K10" s="122"/>
      <c r="L10" s="122"/>
      <c r="O10" s="7"/>
      <c r="Q10" t="s">
        <v>25</v>
      </c>
      <c r="R10" s="61" t="s">
        <v>31</v>
      </c>
      <c r="S10" t="s">
        <v>32</v>
      </c>
    </row>
    <row r="11" spans="2:19" ht="28.8" x14ac:dyDescent="0.3">
      <c r="B11" s="8"/>
      <c r="C11" s="122"/>
      <c r="D11" s="122"/>
      <c r="E11" s="122"/>
      <c r="F11" s="122"/>
      <c r="G11" s="122"/>
      <c r="H11" s="122"/>
      <c r="I11" s="122"/>
      <c r="J11" s="122"/>
      <c r="K11" s="122"/>
      <c r="L11" s="122"/>
      <c r="O11" s="7"/>
      <c r="Q11" t="s">
        <v>25</v>
      </c>
      <c r="R11" s="21" t="s">
        <v>33</v>
      </c>
      <c r="S11" s="63" t="s">
        <v>34</v>
      </c>
    </row>
    <row r="12" spans="2:19" ht="25.05" customHeight="1" x14ac:dyDescent="0.3">
      <c r="B12" s="8"/>
      <c r="C12" s="123"/>
      <c r="D12" s="15"/>
      <c r="E12" s="62"/>
      <c r="O12" s="7"/>
      <c r="Q12" t="s">
        <v>25</v>
      </c>
      <c r="R12" s="21" t="s">
        <v>35</v>
      </c>
      <c r="S12" t="s">
        <v>36</v>
      </c>
    </row>
    <row r="13" spans="2:19" ht="25.05" customHeight="1" x14ac:dyDescent="0.3">
      <c r="B13" s="8"/>
      <c r="C13" s="123"/>
      <c r="D13" s="15"/>
      <c r="E13" s="62"/>
      <c r="O13" s="7"/>
      <c r="Q13" t="s">
        <v>25</v>
      </c>
      <c r="R13" s="21" t="s">
        <v>37</v>
      </c>
      <c r="S13" t="s">
        <v>38</v>
      </c>
    </row>
    <row r="14" spans="2:19" ht="25.05" customHeight="1" x14ac:dyDescent="0.3">
      <c r="B14" s="8"/>
      <c r="C14" s="123"/>
      <c r="D14" s="15"/>
      <c r="E14" s="62"/>
      <c r="O14" s="7"/>
      <c r="Q14" t="s">
        <v>25</v>
      </c>
      <c r="R14" s="21" t="s">
        <v>21</v>
      </c>
      <c r="S14" t="s">
        <v>39</v>
      </c>
    </row>
    <row r="15" spans="2:19" ht="25.05" customHeight="1" x14ac:dyDescent="0.3">
      <c r="B15" s="8"/>
      <c r="C15" s="123"/>
      <c r="D15" s="15"/>
      <c r="E15" s="62"/>
      <c r="O15" s="7"/>
      <c r="Q15" t="s">
        <v>25</v>
      </c>
      <c r="R15" s="21" t="s">
        <v>40</v>
      </c>
      <c r="S15" t="s">
        <v>41</v>
      </c>
    </row>
    <row r="16" spans="2:19" ht="25.05" customHeight="1" x14ac:dyDescent="0.3">
      <c r="B16" s="8"/>
      <c r="C16" s="123"/>
      <c r="D16" s="15"/>
      <c r="E16" s="62"/>
      <c r="O16" s="7"/>
      <c r="Q16" t="s">
        <v>25</v>
      </c>
      <c r="R16" s="21" t="s">
        <v>42</v>
      </c>
      <c r="S16" t="s">
        <v>43</v>
      </c>
    </row>
    <row r="17" spans="2:19" ht="25.05" customHeight="1" x14ac:dyDescent="0.3">
      <c r="B17" s="8"/>
      <c r="C17" s="123"/>
      <c r="D17" s="15"/>
      <c r="E17" s="62"/>
      <c r="O17" s="7"/>
      <c r="Q17" t="s">
        <v>44</v>
      </c>
      <c r="R17" s="22" t="s">
        <v>13</v>
      </c>
      <c r="S17" t="s">
        <v>45</v>
      </c>
    </row>
    <row r="18" spans="2:19" ht="25.05" customHeight="1" x14ac:dyDescent="0.3">
      <c r="B18" s="8"/>
      <c r="C18" s="123"/>
      <c r="D18" s="15"/>
      <c r="E18" s="62"/>
      <c r="O18" s="7"/>
      <c r="Q18" t="s">
        <v>44</v>
      </c>
      <c r="R18" s="22" t="s">
        <v>46</v>
      </c>
      <c r="S18" t="s">
        <v>47</v>
      </c>
    </row>
    <row r="19" spans="2:19" ht="25.05" customHeight="1" x14ac:dyDescent="0.3">
      <c r="B19" s="8"/>
      <c r="C19" s="123"/>
      <c r="D19" s="15"/>
      <c r="E19" s="62"/>
      <c r="O19" s="7"/>
      <c r="Q19" t="s">
        <v>44</v>
      </c>
      <c r="R19" s="22" t="s">
        <v>48</v>
      </c>
      <c r="S19" t="s">
        <v>49</v>
      </c>
    </row>
    <row r="20" spans="2:19" ht="25.05" customHeight="1" x14ac:dyDescent="0.3">
      <c r="B20" s="8"/>
      <c r="C20" s="123"/>
      <c r="D20" s="15"/>
      <c r="E20" s="62"/>
      <c r="O20" s="7"/>
      <c r="Q20" t="s">
        <v>44</v>
      </c>
      <c r="R20" s="22" t="s">
        <v>50</v>
      </c>
      <c r="S20" t="s">
        <v>51</v>
      </c>
    </row>
    <row r="21" spans="2:19" ht="25.05" customHeight="1" x14ac:dyDescent="0.3">
      <c r="B21" s="8"/>
      <c r="C21" s="123"/>
      <c r="D21" s="16"/>
      <c r="E21" s="62"/>
      <c r="O21" s="7"/>
      <c r="Q21" t="s">
        <v>44</v>
      </c>
      <c r="R21" s="22" t="s">
        <v>21</v>
      </c>
      <c r="S21" t="s">
        <v>39</v>
      </c>
    </row>
    <row r="22" spans="2:19" ht="25.05" customHeight="1" x14ac:dyDescent="0.3">
      <c r="B22" s="8"/>
      <c r="C22" s="123"/>
      <c r="D22" s="15"/>
      <c r="E22" s="62"/>
      <c r="F22" s="14"/>
      <c r="G22" s="14"/>
      <c r="H22" s="14"/>
      <c r="I22" s="14"/>
      <c r="J22" s="14"/>
      <c r="K22" s="14"/>
      <c r="L22" s="14"/>
      <c r="O22" s="7"/>
      <c r="Q22" t="s">
        <v>44</v>
      </c>
      <c r="R22" s="22" t="s">
        <v>52</v>
      </c>
      <c r="S22" t="s">
        <v>53</v>
      </c>
    </row>
    <row r="23" spans="2:19" ht="25.05" customHeight="1" x14ac:dyDescent="0.3">
      <c r="B23" s="8"/>
      <c r="C23" s="123"/>
      <c r="D23" s="15"/>
      <c r="E23" s="62"/>
      <c r="F23" s="14"/>
      <c r="G23" s="14"/>
      <c r="H23" s="14"/>
      <c r="I23" s="14"/>
      <c r="J23" s="14"/>
      <c r="K23" s="14"/>
      <c r="L23" s="14"/>
      <c r="O23" s="7"/>
      <c r="Q23" t="s">
        <v>44</v>
      </c>
      <c r="R23" s="22" t="s">
        <v>54</v>
      </c>
      <c r="S23" t="s">
        <v>55</v>
      </c>
    </row>
    <row r="24" spans="2:19" ht="25.05" customHeight="1" x14ac:dyDescent="0.3">
      <c r="B24" s="8"/>
      <c r="C24" s="123"/>
      <c r="D24" s="15"/>
      <c r="E24" s="62"/>
      <c r="F24" s="14"/>
      <c r="G24" s="14"/>
      <c r="H24" s="14"/>
      <c r="I24" s="14"/>
      <c r="J24" s="14"/>
      <c r="K24" s="14"/>
      <c r="L24" s="14"/>
      <c r="O24" s="7"/>
      <c r="Q24" t="s">
        <v>44</v>
      </c>
      <c r="R24" s="22" t="s">
        <v>56</v>
      </c>
      <c r="S24" t="s">
        <v>57</v>
      </c>
    </row>
    <row r="25" spans="2:19" ht="25.05" customHeight="1" x14ac:dyDescent="0.3">
      <c r="B25" s="8"/>
      <c r="C25" s="123"/>
      <c r="D25" s="15"/>
      <c r="E25" s="62"/>
      <c r="F25" s="14"/>
      <c r="G25" s="14"/>
      <c r="H25" s="14"/>
      <c r="I25" s="14"/>
      <c r="J25" s="14"/>
      <c r="K25" s="14"/>
      <c r="L25" s="14"/>
      <c r="O25" s="7"/>
      <c r="Q25" t="s">
        <v>44</v>
      </c>
      <c r="R25" s="22" t="s">
        <v>58</v>
      </c>
      <c r="S25" t="s">
        <v>59</v>
      </c>
    </row>
    <row r="26" spans="2:19" ht="25.05" customHeight="1" x14ac:dyDescent="0.3">
      <c r="B26" s="8"/>
      <c r="C26" s="123"/>
      <c r="D26" s="15"/>
      <c r="E26" s="62"/>
      <c r="O26" s="7"/>
      <c r="Q26" t="s">
        <v>44</v>
      </c>
      <c r="R26" s="22" t="s">
        <v>40</v>
      </c>
      <c r="S26" s="34" t="s">
        <v>60</v>
      </c>
    </row>
    <row r="27" spans="2:19" ht="25.05" customHeight="1" x14ac:dyDescent="0.3">
      <c r="B27" s="8"/>
      <c r="C27" s="123"/>
      <c r="D27" s="15"/>
      <c r="E27" s="62"/>
      <c r="M27" s="19"/>
      <c r="O27" s="7"/>
      <c r="Q27" t="s">
        <v>44</v>
      </c>
      <c r="R27" s="22" t="s">
        <v>42</v>
      </c>
      <c r="S27" s="34" t="s">
        <v>61</v>
      </c>
    </row>
    <row r="28" spans="2:19" ht="25.05" customHeight="1" x14ac:dyDescent="0.3">
      <c r="B28" s="8"/>
      <c r="C28" s="123"/>
      <c r="D28" s="15"/>
      <c r="E28" s="62"/>
      <c r="M28" s="19"/>
      <c r="O28" s="7"/>
      <c r="Q28" t="s">
        <v>62</v>
      </c>
      <c r="R28" s="23" t="s">
        <v>13</v>
      </c>
      <c r="S28" t="s">
        <v>63</v>
      </c>
    </row>
    <row r="29" spans="2:19" ht="25.05" customHeight="1" x14ac:dyDescent="0.3">
      <c r="B29" s="8"/>
      <c r="O29" s="7"/>
      <c r="Q29" t="s">
        <v>62</v>
      </c>
      <c r="R29" s="23" t="s">
        <v>48</v>
      </c>
      <c r="S29" t="s">
        <v>64</v>
      </c>
    </row>
    <row r="30" spans="2:19" ht="25.05" customHeight="1" x14ac:dyDescent="0.3">
      <c r="B30" s="8"/>
      <c r="M30" s="19"/>
      <c r="O30" s="7"/>
      <c r="Q30" t="s">
        <v>62</v>
      </c>
      <c r="R30" s="24" t="s">
        <v>50</v>
      </c>
      <c r="S30" t="s">
        <v>65</v>
      </c>
    </row>
    <row r="31" spans="2:19" ht="25.05" customHeight="1" x14ac:dyDescent="0.3">
      <c r="B31" s="8"/>
      <c r="O31" s="7"/>
      <c r="Q31" t="s">
        <v>62</v>
      </c>
      <c r="R31" s="24" t="s">
        <v>66</v>
      </c>
      <c r="S31" t="s">
        <v>67</v>
      </c>
    </row>
    <row r="32" spans="2:19" ht="25.05" customHeight="1" x14ac:dyDescent="0.3">
      <c r="B32" s="8"/>
      <c r="O32" s="7"/>
      <c r="Q32" t="s">
        <v>62</v>
      </c>
      <c r="R32" s="24" t="s">
        <v>68</v>
      </c>
      <c r="S32" t="s">
        <v>69</v>
      </c>
    </row>
    <row r="33" spans="2:19" x14ac:dyDescent="0.3">
      <c r="B33" s="8"/>
      <c r="O33" s="7"/>
      <c r="Q33" t="s">
        <v>62</v>
      </c>
      <c r="R33" s="24" t="s">
        <v>70</v>
      </c>
      <c r="S33" t="s">
        <v>71</v>
      </c>
    </row>
    <row r="34" spans="2:19" x14ac:dyDescent="0.3">
      <c r="B34" s="8"/>
      <c r="O34" s="7"/>
      <c r="Q34" t="s">
        <v>62</v>
      </c>
      <c r="R34" s="24" t="s">
        <v>72</v>
      </c>
      <c r="S34" t="s">
        <v>73</v>
      </c>
    </row>
    <row r="35" spans="2:19" x14ac:dyDescent="0.3">
      <c r="B35" s="8"/>
      <c r="O35" s="7"/>
      <c r="Q35" t="s">
        <v>62</v>
      </c>
      <c r="R35" s="24" t="s">
        <v>74</v>
      </c>
      <c r="S35" t="s">
        <v>75</v>
      </c>
    </row>
    <row r="36" spans="2:19" x14ac:dyDescent="0.3">
      <c r="B36" s="8"/>
      <c r="O36" s="7"/>
      <c r="Q36" t="s">
        <v>62</v>
      </c>
      <c r="R36" s="24" t="s">
        <v>76</v>
      </c>
      <c r="S36" s="34" t="s">
        <v>77</v>
      </c>
    </row>
    <row r="37" spans="2:19" x14ac:dyDescent="0.3">
      <c r="B37" s="8"/>
      <c r="O37" s="7"/>
      <c r="Q37" t="s">
        <v>62</v>
      </c>
      <c r="R37" s="24" t="s">
        <v>78</v>
      </c>
      <c r="S37" t="s">
        <v>79</v>
      </c>
    </row>
    <row r="38" spans="2:19" x14ac:dyDescent="0.3">
      <c r="B38" s="8"/>
      <c r="O38" s="7"/>
      <c r="Q38" t="s">
        <v>62</v>
      </c>
      <c r="R38" s="25" t="s">
        <v>80</v>
      </c>
      <c r="S38" t="s">
        <v>81</v>
      </c>
    </row>
    <row r="39" spans="2:19" x14ac:dyDescent="0.3">
      <c r="B39" s="8"/>
      <c r="O39" s="7"/>
      <c r="Q39" t="s">
        <v>82</v>
      </c>
      <c r="R39" s="26" t="s">
        <v>13</v>
      </c>
      <c r="S39" t="s">
        <v>83</v>
      </c>
    </row>
    <row r="40" spans="2:19" x14ac:dyDescent="0.3">
      <c r="B40" s="8"/>
      <c r="O40" s="7"/>
      <c r="Q40" t="s">
        <v>82</v>
      </c>
      <c r="R40" s="26" t="s">
        <v>74</v>
      </c>
      <c r="S40" t="s">
        <v>84</v>
      </c>
    </row>
    <row r="41" spans="2:19" x14ac:dyDescent="0.3">
      <c r="B41" s="8"/>
      <c r="O41" s="7"/>
      <c r="Q41" t="s">
        <v>82</v>
      </c>
      <c r="R41" s="26" t="s">
        <v>85</v>
      </c>
      <c r="S41" t="s">
        <v>86</v>
      </c>
    </row>
    <row r="42" spans="2:19" x14ac:dyDescent="0.3">
      <c r="B42" s="8"/>
      <c r="O42" s="7"/>
      <c r="Q42" t="s">
        <v>82</v>
      </c>
      <c r="R42" s="29" t="s">
        <v>87</v>
      </c>
      <c r="S42" t="s">
        <v>88</v>
      </c>
    </row>
    <row r="43" spans="2:19" x14ac:dyDescent="0.3">
      <c r="B43" s="8"/>
      <c r="O43" s="7"/>
      <c r="Q43" t="s">
        <v>82</v>
      </c>
      <c r="R43" s="26" t="s">
        <v>89</v>
      </c>
      <c r="S43" s="34" t="s">
        <v>90</v>
      </c>
    </row>
    <row r="44" spans="2:19" x14ac:dyDescent="0.3">
      <c r="B44" s="8"/>
      <c r="O44" s="7"/>
      <c r="Q44" t="s">
        <v>82</v>
      </c>
      <c r="R44" s="26" t="s">
        <v>21</v>
      </c>
      <c r="S44" s="34" t="s">
        <v>91</v>
      </c>
    </row>
    <row r="45" spans="2:19" x14ac:dyDescent="0.3">
      <c r="B45" s="8"/>
      <c r="O45" s="7"/>
      <c r="Q45" t="s">
        <v>92</v>
      </c>
      <c r="R45" s="27" t="s">
        <v>13</v>
      </c>
      <c r="S45" t="s">
        <v>93</v>
      </c>
    </row>
    <row r="46" spans="2:19" x14ac:dyDescent="0.3">
      <c r="B46" s="8"/>
      <c r="O46" s="7"/>
      <c r="Q46" t="s">
        <v>92</v>
      </c>
      <c r="R46" s="28" t="s">
        <v>74</v>
      </c>
      <c r="S46" t="s">
        <v>94</v>
      </c>
    </row>
    <row r="47" spans="2:19" x14ac:dyDescent="0.3">
      <c r="B47" s="8"/>
      <c r="O47" s="7"/>
      <c r="Q47" t="s">
        <v>92</v>
      </c>
      <c r="R47" s="28" t="s">
        <v>89</v>
      </c>
      <c r="S47" t="s">
        <v>95</v>
      </c>
    </row>
    <row r="48" spans="2:19" x14ac:dyDescent="0.3">
      <c r="B48" s="8"/>
      <c r="O48" s="7"/>
      <c r="Q48" t="s">
        <v>92</v>
      </c>
      <c r="R48" s="28" t="s">
        <v>96</v>
      </c>
      <c r="S48" s="34" t="s">
        <v>97</v>
      </c>
    </row>
    <row r="49" spans="2:19" x14ac:dyDescent="0.3">
      <c r="B49" s="8"/>
      <c r="O49" s="7"/>
      <c r="P49" s="19"/>
      <c r="Q49" t="s">
        <v>92</v>
      </c>
      <c r="R49" s="28" t="s">
        <v>98</v>
      </c>
      <c r="S49" s="34" t="s">
        <v>99</v>
      </c>
    </row>
    <row r="50" spans="2:19" x14ac:dyDescent="0.3">
      <c r="B50" s="8"/>
      <c r="O50" s="7"/>
      <c r="Q50" t="s">
        <v>92</v>
      </c>
      <c r="R50" s="28" t="s">
        <v>100</v>
      </c>
      <c r="S50" t="s">
        <v>101</v>
      </c>
    </row>
    <row r="51" spans="2:19" x14ac:dyDescent="0.3">
      <c r="B51" s="8"/>
      <c r="O51" s="7"/>
      <c r="P51" s="19"/>
      <c r="Q51" t="s">
        <v>92</v>
      </c>
      <c r="R51" s="28" t="s">
        <v>102</v>
      </c>
      <c r="S51" t="s">
        <v>103</v>
      </c>
    </row>
    <row r="52" spans="2:19" x14ac:dyDescent="0.3">
      <c r="B52" s="8"/>
      <c r="O52" s="7"/>
      <c r="Q52" t="s">
        <v>92</v>
      </c>
      <c r="R52" s="28" t="s">
        <v>104</v>
      </c>
      <c r="S52" t="s">
        <v>105</v>
      </c>
    </row>
    <row r="53" spans="2:19" x14ac:dyDescent="0.3">
      <c r="B53" s="8"/>
      <c r="O53" s="7"/>
      <c r="Q53" t="s">
        <v>92</v>
      </c>
      <c r="R53" s="28" t="s">
        <v>106</v>
      </c>
      <c r="S53" t="s">
        <v>107</v>
      </c>
    </row>
    <row r="54" spans="2:19" x14ac:dyDescent="0.3">
      <c r="B54" s="9"/>
      <c r="C54" s="10"/>
      <c r="D54" s="10"/>
      <c r="E54" s="10"/>
      <c r="F54" s="10"/>
      <c r="G54" s="10"/>
      <c r="H54" s="10"/>
      <c r="I54" s="10"/>
      <c r="J54" s="10"/>
      <c r="K54" s="10"/>
      <c r="L54" s="10"/>
      <c r="M54" s="10"/>
      <c r="N54" s="10"/>
      <c r="O54" s="11"/>
      <c r="Q54" t="s">
        <v>92</v>
      </c>
      <c r="R54" s="28" t="s">
        <v>108</v>
      </c>
      <c r="S54" t="s">
        <v>109</v>
      </c>
    </row>
    <row r="55" spans="2:19" x14ac:dyDescent="0.3">
      <c r="Q55" t="s">
        <v>110</v>
      </c>
      <c r="R55" s="23" t="s">
        <v>13</v>
      </c>
      <c r="S55" t="s">
        <v>111</v>
      </c>
    </row>
    <row r="56" spans="2:19" x14ac:dyDescent="0.3">
      <c r="Q56" t="s">
        <v>110</v>
      </c>
      <c r="R56" s="23" t="s">
        <v>112</v>
      </c>
      <c r="S56" t="s">
        <v>113</v>
      </c>
    </row>
    <row r="57" spans="2:19" x14ac:dyDescent="0.3">
      <c r="Q57" t="s">
        <v>110</v>
      </c>
      <c r="R57" s="23" t="s">
        <v>114</v>
      </c>
      <c r="S57" t="s">
        <v>115</v>
      </c>
    </row>
  </sheetData>
  <mergeCells count="3">
    <mergeCell ref="C5:L11"/>
    <mergeCell ref="C12:C17"/>
    <mergeCell ref="C18:C28"/>
  </mergeCells>
  <conditionalFormatting sqref="R13">
    <cfRule type="expression" dxfId="133" priority="1">
      <formula>#REF!="No"</formula>
    </cfRule>
  </conditionalFormatting>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CDF00-9BFD-425F-AE3E-472EF4330668}">
  <sheetPr codeName="Sheet4"/>
  <dimension ref="B4:P58"/>
  <sheetViews>
    <sheetView topLeftCell="A4" zoomScale="50" zoomScaleNormal="50" workbookViewId="0">
      <selection activeCell="C8" sqref="C8"/>
    </sheetView>
  </sheetViews>
  <sheetFormatPr defaultColWidth="9.21875" defaultRowHeight="14.4" x14ac:dyDescent="0.3"/>
  <cols>
    <col min="1" max="3" width="9.21875" style="6"/>
    <col min="4" max="4" width="44.77734375" style="6" customWidth="1"/>
    <col min="5" max="11" width="9.21875" style="6"/>
    <col min="12" max="12" width="39" style="6" customWidth="1"/>
    <col min="13" max="16384" width="9.21875" style="6"/>
  </cols>
  <sheetData>
    <row r="4" spans="2:15" x14ac:dyDescent="0.3">
      <c r="B4"/>
    </row>
    <row r="5" spans="2:15" x14ac:dyDescent="0.3">
      <c r="B5" s="3"/>
      <c r="C5" s="4"/>
      <c r="D5" s="4"/>
      <c r="E5" s="4"/>
      <c r="F5" s="4"/>
      <c r="G5" s="4"/>
      <c r="H5" s="4"/>
      <c r="I5" s="4"/>
      <c r="J5" s="4"/>
      <c r="K5" s="4"/>
      <c r="L5" s="4"/>
      <c r="M5" s="4"/>
      <c r="N5" s="4"/>
      <c r="O5" s="5"/>
    </row>
    <row r="6" spans="2:15" x14ac:dyDescent="0.3">
      <c r="B6" s="8"/>
      <c r="O6" s="7"/>
    </row>
    <row r="7" spans="2:15" ht="34.799999999999997" x14ac:dyDescent="0.55000000000000004">
      <c r="B7" s="8"/>
      <c r="C7" s="12" t="s">
        <v>170</v>
      </c>
      <c r="D7" s="13"/>
      <c r="E7" s="13"/>
      <c r="O7" s="7"/>
    </row>
    <row r="8" spans="2:15" x14ac:dyDescent="0.3">
      <c r="B8" s="8"/>
      <c r="O8" s="7"/>
    </row>
    <row r="9" spans="2:15" ht="15" customHeight="1" x14ac:dyDescent="0.3">
      <c r="B9" s="8"/>
      <c r="C9" s="122" t="s">
        <v>116</v>
      </c>
      <c r="D9" s="122"/>
      <c r="E9" s="122"/>
      <c r="F9" s="122"/>
      <c r="G9" s="122"/>
      <c r="H9" s="122"/>
      <c r="I9" s="122"/>
      <c r="J9" s="122"/>
      <c r="K9" s="122"/>
      <c r="L9" s="122"/>
      <c r="O9" s="7"/>
    </row>
    <row r="10" spans="2:15" x14ac:dyDescent="0.3">
      <c r="B10" s="8"/>
      <c r="C10" s="122"/>
      <c r="D10" s="122"/>
      <c r="E10" s="122"/>
      <c r="F10" s="122"/>
      <c r="G10" s="122"/>
      <c r="H10" s="122"/>
      <c r="I10" s="122"/>
      <c r="J10" s="122"/>
      <c r="K10" s="122"/>
      <c r="L10" s="122"/>
      <c r="O10" s="7"/>
    </row>
    <row r="11" spans="2:15" x14ac:dyDescent="0.3">
      <c r="B11" s="8"/>
      <c r="C11" s="122"/>
      <c r="D11" s="122"/>
      <c r="E11" s="122"/>
      <c r="F11" s="122"/>
      <c r="G11" s="122"/>
      <c r="H11" s="122"/>
      <c r="I11" s="122"/>
      <c r="J11" s="122"/>
      <c r="K11" s="122"/>
      <c r="L11" s="122"/>
      <c r="O11" s="7"/>
    </row>
    <row r="12" spans="2:15" ht="25.05" customHeight="1" x14ac:dyDescent="0.3">
      <c r="B12" s="8"/>
      <c r="C12" s="122"/>
      <c r="D12" s="122"/>
      <c r="E12" s="122"/>
      <c r="F12" s="122"/>
      <c r="G12" s="122"/>
      <c r="H12" s="122"/>
      <c r="I12" s="122"/>
      <c r="J12" s="122"/>
      <c r="K12" s="122"/>
      <c r="L12" s="122"/>
      <c r="O12" s="7"/>
    </row>
    <row r="13" spans="2:15" ht="25.05" customHeight="1" x14ac:dyDescent="0.3">
      <c r="B13" s="8"/>
      <c r="C13" s="122"/>
      <c r="D13" s="122"/>
      <c r="E13" s="122"/>
      <c r="F13" s="122"/>
      <c r="G13" s="122"/>
      <c r="H13" s="122"/>
      <c r="I13" s="122"/>
      <c r="J13" s="122"/>
      <c r="K13" s="122"/>
      <c r="L13" s="122"/>
      <c r="O13" s="7"/>
    </row>
    <row r="14" spans="2:15" ht="25.05" customHeight="1" x14ac:dyDescent="0.3">
      <c r="B14" s="8"/>
      <c r="C14" s="17"/>
      <c r="D14" s="15"/>
      <c r="E14" s="62"/>
      <c r="O14" s="7"/>
    </row>
    <row r="15" spans="2:15" ht="25.05" customHeight="1" x14ac:dyDescent="0.3">
      <c r="B15" s="8"/>
      <c r="C15" s="17"/>
      <c r="D15" s="15"/>
      <c r="E15" s="62"/>
      <c r="O15" s="7"/>
    </row>
    <row r="16" spans="2:15" ht="25.05" customHeight="1" x14ac:dyDescent="0.3">
      <c r="B16" s="8"/>
      <c r="C16" s="123"/>
      <c r="D16" s="15"/>
      <c r="E16" s="62"/>
      <c r="O16" s="7"/>
    </row>
    <row r="17" spans="2:15" ht="25.05" customHeight="1" x14ac:dyDescent="0.3">
      <c r="B17" s="8"/>
      <c r="C17" s="123"/>
      <c r="D17" s="15"/>
      <c r="E17" s="62"/>
      <c r="O17" s="7"/>
    </row>
    <row r="18" spans="2:15" ht="25.05" customHeight="1" x14ac:dyDescent="0.3">
      <c r="B18" s="8"/>
      <c r="C18" s="123"/>
      <c r="D18" s="15"/>
      <c r="E18" s="62"/>
      <c r="O18" s="7"/>
    </row>
    <row r="19" spans="2:15" ht="25.05" customHeight="1" x14ac:dyDescent="0.3">
      <c r="B19" s="8"/>
      <c r="C19" s="123"/>
      <c r="D19" s="15"/>
      <c r="E19" s="62"/>
      <c r="O19" s="7"/>
    </row>
    <row r="20" spans="2:15" ht="25.05" customHeight="1" x14ac:dyDescent="0.3">
      <c r="B20" s="8"/>
      <c r="C20" s="123"/>
      <c r="D20" s="15"/>
      <c r="E20" s="62"/>
      <c r="O20" s="7"/>
    </row>
    <row r="21" spans="2:15" ht="25.05" customHeight="1" x14ac:dyDescent="0.3">
      <c r="B21" s="8"/>
      <c r="C21" s="123"/>
      <c r="D21" s="15"/>
      <c r="E21" s="62"/>
      <c r="O21" s="7"/>
    </row>
    <row r="22" spans="2:15" ht="25.05" customHeight="1" x14ac:dyDescent="0.3">
      <c r="B22" s="8"/>
      <c r="C22" s="123"/>
      <c r="D22" s="15"/>
      <c r="E22" s="62"/>
      <c r="O22" s="7"/>
    </row>
    <row r="23" spans="2:15" ht="25.05" customHeight="1" x14ac:dyDescent="0.3">
      <c r="B23" s="8"/>
      <c r="C23" s="123"/>
      <c r="D23" s="15"/>
      <c r="E23" s="62"/>
      <c r="O23" s="7"/>
    </row>
    <row r="24" spans="2:15" ht="25.05" customHeight="1" x14ac:dyDescent="0.3">
      <c r="B24" s="8"/>
      <c r="C24" s="123"/>
      <c r="D24" s="15"/>
      <c r="E24" s="62"/>
      <c r="O24" s="7"/>
    </row>
    <row r="25" spans="2:15" ht="25.05" customHeight="1" x14ac:dyDescent="0.3">
      <c r="B25" s="8"/>
      <c r="C25" s="123"/>
      <c r="D25" s="16"/>
      <c r="E25" s="62"/>
      <c r="O25" s="7"/>
    </row>
    <row r="26" spans="2:15" ht="25.05" customHeight="1" x14ac:dyDescent="0.3">
      <c r="B26" s="8"/>
      <c r="C26" s="123"/>
      <c r="D26" s="15"/>
      <c r="E26" s="62"/>
      <c r="F26" s="14"/>
      <c r="G26" s="14"/>
      <c r="H26" s="14"/>
      <c r="I26" s="14"/>
      <c r="J26" s="14"/>
      <c r="K26" s="14"/>
      <c r="L26" s="14"/>
      <c r="O26" s="7"/>
    </row>
    <row r="27" spans="2:15" ht="25.05" customHeight="1" x14ac:dyDescent="0.3">
      <c r="B27" s="8"/>
      <c r="C27" s="123"/>
      <c r="D27" s="15"/>
      <c r="E27" s="62"/>
      <c r="F27" s="14"/>
      <c r="G27" s="14"/>
      <c r="H27" s="14"/>
      <c r="I27" s="14"/>
      <c r="J27" s="14"/>
      <c r="K27" s="14"/>
      <c r="L27" s="14"/>
      <c r="O27" s="7"/>
    </row>
    <row r="28" spans="2:15" ht="25.05" customHeight="1" x14ac:dyDescent="0.3">
      <c r="B28" s="8"/>
      <c r="C28" s="123"/>
      <c r="D28" s="15"/>
      <c r="E28" s="62"/>
      <c r="F28" s="14"/>
      <c r="G28" s="14"/>
      <c r="H28" s="14"/>
      <c r="I28" s="14"/>
      <c r="J28" s="14"/>
      <c r="K28" s="14"/>
      <c r="L28" s="14"/>
      <c r="O28" s="7"/>
    </row>
    <row r="29" spans="2:15" ht="25.05" customHeight="1" x14ac:dyDescent="0.3">
      <c r="B29" s="8"/>
      <c r="C29" s="123"/>
      <c r="D29" s="15"/>
      <c r="E29" s="62"/>
      <c r="F29" s="14"/>
      <c r="G29" s="14"/>
      <c r="H29" s="14"/>
      <c r="I29" s="14"/>
      <c r="J29" s="14"/>
      <c r="K29" s="14"/>
      <c r="L29" s="14"/>
      <c r="O29" s="7"/>
    </row>
    <row r="30" spans="2:15" ht="25.05" customHeight="1" x14ac:dyDescent="0.3">
      <c r="B30" s="8"/>
      <c r="C30" s="123"/>
      <c r="D30" s="15"/>
      <c r="E30" s="62"/>
      <c r="O30" s="7"/>
    </row>
    <row r="31" spans="2:15" ht="25.05" customHeight="1" x14ac:dyDescent="0.3">
      <c r="B31" s="8"/>
      <c r="C31" s="123"/>
      <c r="D31" s="15"/>
      <c r="E31" s="62"/>
      <c r="M31" s="19"/>
      <c r="O31" s="7"/>
    </row>
    <row r="32" spans="2:15" ht="25.05" customHeight="1" x14ac:dyDescent="0.3">
      <c r="B32" s="8"/>
      <c r="C32" s="123"/>
      <c r="D32" s="15"/>
      <c r="E32" s="62"/>
      <c r="M32" s="19"/>
      <c r="O32" s="7"/>
    </row>
    <row r="33" spans="2:15" x14ac:dyDescent="0.3">
      <c r="B33" s="8"/>
      <c r="O33" s="7"/>
    </row>
    <row r="34" spans="2:15" x14ac:dyDescent="0.3">
      <c r="B34" s="8"/>
      <c r="M34" s="19"/>
      <c r="O34" s="7"/>
    </row>
    <row r="35" spans="2:15" x14ac:dyDescent="0.3">
      <c r="B35" s="8"/>
      <c r="O35" s="7"/>
    </row>
    <row r="36" spans="2:15" x14ac:dyDescent="0.3">
      <c r="B36" s="8"/>
      <c r="O36" s="7"/>
    </row>
    <row r="37" spans="2:15" x14ac:dyDescent="0.3">
      <c r="B37" s="8"/>
      <c r="O37" s="7"/>
    </row>
    <row r="38" spans="2:15" x14ac:dyDescent="0.3">
      <c r="B38" s="8"/>
      <c r="O38" s="7"/>
    </row>
    <row r="39" spans="2:15" x14ac:dyDescent="0.3">
      <c r="B39" s="8"/>
      <c r="O39" s="7"/>
    </row>
    <row r="40" spans="2:15" x14ac:dyDescent="0.3">
      <c r="B40" s="8"/>
      <c r="O40" s="7"/>
    </row>
    <row r="41" spans="2:15" x14ac:dyDescent="0.3">
      <c r="B41" s="8"/>
      <c r="O41" s="7"/>
    </row>
    <row r="42" spans="2:15" x14ac:dyDescent="0.3">
      <c r="B42" s="8"/>
      <c r="O42" s="7"/>
    </row>
    <row r="43" spans="2:15" x14ac:dyDescent="0.3">
      <c r="B43" s="8"/>
      <c r="O43" s="7"/>
    </row>
    <row r="44" spans="2:15" x14ac:dyDescent="0.3">
      <c r="B44" s="8"/>
      <c r="O44" s="7"/>
    </row>
    <row r="45" spans="2:15" x14ac:dyDescent="0.3">
      <c r="B45" s="8"/>
      <c r="O45" s="7"/>
    </row>
    <row r="46" spans="2:15" x14ac:dyDescent="0.3">
      <c r="B46" s="8"/>
      <c r="O46" s="7"/>
    </row>
    <row r="47" spans="2:15" x14ac:dyDescent="0.3">
      <c r="B47" s="8"/>
      <c r="O47" s="7"/>
    </row>
    <row r="48" spans="2:15" x14ac:dyDescent="0.3">
      <c r="B48" s="8"/>
      <c r="O48" s="7"/>
    </row>
    <row r="49" spans="2:16" x14ac:dyDescent="0.3">
      <c r="B49" s="8"/>
      <c r="O49" s="7"/>
      <c r="P49" s="19"/>
    </row>
    <row r="50" spans="2:16" x14ac:dyDescent="0.3">
      <c r="B50" s="8"/>
      <c r="O50" s="7"/>
    </row>
    <row r="51" spans="2:16" x14ac:dyDescent="0.3">
      <c r="B51" s="8"/>
      <c r="O51" s="7"/>
      <c r="P51" s="19"/>
    </row>
    <row r="52" spans="2:16" x14ac:dyDescent="0.3">
      <c r="B52" s="8"/>
      <c r="O52" s="7"/>
    </row>
    <row r="53" spans="2:16" x14ac:dyDescent="0.3">
      <c r="B53" s="8"/>
      <c r="O53" s="7"/>
    </row>
    <row r="54" spans="2:16" x14ac:dyDescent="0.3">
      <c r="B54" s="8"/>
      <c r="O54" s="7"/>
    </row>
    <row r="55" spans="2:16" x14ac:dyDescent="0.3">
      <c r="B55" s="8"/>
      <c r="O55" s="7"/>
    </row>
    <row r="56" spans="2:16" x14ac:dyDescent="0.3">
      <c r="B56" s="8"/>
      <c r="O56" s="7"/>
    </row>
    <row r="57" spans="2:16" x14ac:dyDescent="0.3">
      <c r="B57" s="8"/>
      <c r="O57" s="7"/>
    </row>
    <row r="58" spans="2:16" x14ac:dyDescent="0.3">
      <c r="B58" s="9"/>
      <c r="C58" s="10"/>
      <c r="D58" s="10"/>
      <c r="E58" s="10"/>
      <c r="F58" s="10"/>
      <c r="G58" s="10"/>
      <c r="H58" s="10"/>
      <c r="I58" s="10"/>
      <c r="J58" s="10"/>
      <c r="K58" s="10"/>
      <c r="L58" s="10"/>
      <c r="M58" s="10"/>
      <c r="N58" s="10"/>
      <c r="O58" s="11"/>
    </row>
  </sheetData>
  <mergeCells count="3">
    <mergeCell ref="C9:L13"/>
    <mergeCell ref="C16:C21"/>
    <mergeCell ref="C22:C3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1:F4"/>
  <sheetViews>
    <sheetView zoomScale="115" zoomScaleNormal="115" workbookViewId="0">
      <selection activeCell="C2" sqref="C2"/>
    </sheetView>
  </sheetViews>
  <sheetFormatPr defaultRowHeight="14.4" x14ac:dyDescent="0.3"/>
  <cols>
    <col min="3" max="3" width="39.44140625" bestFit="1" customWidth="1"/>
    <col min="4" max="4" width="64.21875" style="31" bestFit="1" customWidth="1"/>
    <col min="5" max="5" width="255.77734375" bestFit="1" customWidth="1"/>
    <col min="6" max="6" width="20.109375" bestFit="1" customWidth="1"/>
  </cols>
  <sheetData>
    <row r="1" spans="2:6" x14ac:dyDescent="0.3">
      <c r="B1" t="s">
        <v>13</v>
      </c>
      <c r="C1" t="s">
        <v>16</v>
      </c>
      <c r="D1" t="s">
        <v>18</v>
      </c>
      <c r="E1" t="s">
        <v>21</v>
      </c>
      <c r="F1" t="s">
        <v>23</v>
      </c>
    </row>
    <row r="2" spans="2:6" ht="28.8" x14ac:dyDescent="0.3">
      <c r="B2">
        <v>1</v>
      </c>
      <c r="C2" t="s">
        <v>197</v>
      </c>
      <c r="D2" s="31" t="str">
        <f>SUBSTITUTE(SUBSTITUTE(SUBSTITUTE(SUBSTITUTE(LOWER(C2),"&amp;",""),"-",""),"  ","-")," ","-")</f>
        <v>production-planning</v>
      </c>
      <c r="E2" s="63" t="s">
        <v>297</v>
      </c>
    </row>
    <row r="3" spans="2:6" ht="32.549999999999997" customHeight="1" x14ac:dyDescent="0.3">
      <c r="B3" s="31">
        <v>2</v>
      </c>
      <c r="C3" s="91" t="s">
        <v>198</v>
      </c>
      <c r="D3" s="31" t="str">
        <f>SUBSTITUTE(SUBSTITUTE(SUBSTITUTE(SUBSTITUTE(LOWER(C3),"&amp;",""),"-",""),"  ","-")," ","-")</f>
        <v>order-management</v>
      </c>
      <c r="E3" s="92" t="s">
        <v>298</v>
      </c>
      <c r="F3" s="31"/>
    </row>
    <row r="4" spans="2:6" x14ac:dyDescent="0.3">
      <c r="B4" s="31">
        <v>3</v>
      </c>
      <c r="C4" s="91" t="s">
        <v>199</v>
      </c>
      <c r="D4" s="31" t="str">
        <f>SUBSTITUTE(SUBSTITUTE(SUBSTITUTE(SUBSTITUTE(LOWER(C4),"&amp;",""),"-",""),"  ","-")," ","-")</f>
        <v>operational-monitoring</v>
      </c>
      <c r="E4" s="92" t="s">
        <v>299</v>
      </c>
      <c r="F4" s="31"/>
    </row>
  </sheetData>
  <conditionalFormatting sqref="D2:D4">
    <cfRule type="notContainsBlanks" dxfId="131" priority="1">
      <formula>LEN(TRIM(D2))&gt;0</formula>
    </cfRule>
  </conditionalFormatting>
  <dataValidations count="1">
    <dataValidation type="list" allowBlank="1" showInputMessage="1" showErrorMessage="1" sqref="F2:F4" xr:uid="{B994A52C-3598-463A-BA9A-BE9BFB179C0A}"/>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3EFB5-3837-478B-B87D-A517AC7F9D75}">
  <sheetPr codeName="Sheet6"/>
  <dimension ref="A1:P6"/>
  <sheetViews>
    <sheetView zoomScale="98" zoomScaleNormal="98" workbookViewId="0">
      <selection activeCell="E10" sqref="E10"/>
    </sheetView>
  </sheetViews>
  <sheetFormatPr defaultColWidth="8.77734375" defaultRowHeight="14.4" x14ac:dyDescent="0.3"/>
  <cols>
    <col min="1" max="1" width="9.21875" style="31" customWidth="1"/>
    <col min="3" max="3" width="61.21875" bestFit="1" customWidth="1"/>
    <col min="4" max="4" width="31.44140625" style="32" customWidth="1"/>
    <col min="5" max="5" width="94.77734375" style="31" bestFit="1" customWidth="1"/>
    <col min="6" max="6" width="28.77734375" customWidth="1"/>
    <col min="7" max="7" width="42.5546875" style="31" customWidth="1"/>
    <col min="8" max="8" width="27.109375" bestFit="1" customWidth="1"/>
    <col min="9" max="9" width="13.5546875" customWidth="1"/>
    <col min="10" max="10" width="21.33203125" style="31" customWidth="1"/>
    <col min="11" max="11" width="58.21875" bestFit="1" customWidth="1"/>
    <col min="12" max="12" width="29.5546875" style="31" customWidth="1"/>
    <col min="13" max="13" width="61.5546875" style="31" customWidth="1"/>
    <col min="14" max="14" width="68.5546875" bestFit="1" customWidth="1"/>
    <col min="15" max="15" width="35.44140625" bestFit="1" customWidth="1"/>
    <col min="16" max="16" width="38.5546875" bestFit="1" customWidth="1"/>
    <col min="17" max="17" width="23.77734375" bestFit="1" customWidth="1"/>
    <col min="18" max="18" width="9.21875"/>
    <col min="19" max="19" width="30" bestFit="1" customWidth="1"/>
    <col min="20" max="20" width="26.77734375" customWidth="1"/>
  </cols>
  <sheetData>
    <row r="1" spans="2:16" x14ac:dyDescent="0.3">
      <c r="B1" t="s">
        <v>13</v>
      </c>
      <c r="C1" t="s">
        <v>27</v>
      </c>
      <c r="D1" s="30" t="s">
        <v>176</v>
      </c>
      <c r="E1" s="30" t="s">
        <v>33</v>
      </c>
      <c r="F1" t="s">
        <v>29</v>
      </c>
      <c r="G1" s="30" t="s">
        <v>172</v>
      </c>
      <c r="H1" t="s">
        <v>31</v>
      </c>
      <c r="I1" t="s">
        <v>35</v>
      </c>
      <c r="J1" s="30" t="s">
        <v>37</v>
      </c>
      <c r="K1" t="s">
        <v>117</v>
      </c>
      <c r="L1" s="30" t="s">
        <v>118</v>
      </c>
      <c r="M1" s="30" t="s">
        <v>119</v>
      </c>
      <c r="N1" t="s">
        <v>21</v>
      </c>
      <c r="O1" t="s">
        <v>40</v>
      </c>
      <c r="P1" t="s">
        <v>42</v>
      </c>
    </row>
    <row r="2" spans="2:16" x14ac:dyDescent="0.3">
      <c r="B2" s="31">
        <v>1</v>
      </c>
      <c r="C2" s="31" t="s">
        <v>201</v>
      </c>
      <c r="D2" s="33" t="str">
        <f>Table1[[#This Row],[Data Domain]]</f>
        <v>production-planning</v>
      </c>
      <c r="E2" s="33" t="str">
        <f>IF(Table1[[#This Row],[Has Parent]]="Yes",Table1[[#This Row],[Unique Domain Qualified Name]]&amp;"--"&amp;Table1[[#This Row],[Parent entity Qualified Name3]]&amp;"--"&amp;Table1[[#This Row],[Child entity qualified name2]],Table1[[#This Row],[Unique Domain Qualified Name]]&amp;"--"&amp;Table1[[#This Row],[Child entity qualified name2]])</f>
        <v>production-planning--production-performance</v>
      </c>
      <c r="F2" s="90" t="s">
        <v>200</v>
      </c>
      <c r="G2" s="89" t="str">
        <f>SUBSTITUTE(SUBSTITUTE(SUBSTITUTE(SUBSTITUTE(LOWER(F2),"&amp;",""),"-",""),"  ","-")," ","-")</f>
        <v>production-performance</v>
      </c>
      <c r="H2" s="31" t="s">
        <v>179</v>
      </c>
      <c r="I2" s="31" t="s">
        <v>180</v>
      </c>
      <c r="K2" s="31"/>
      <c r="L2" s="33"/>
      <c r="M2" s="33"/>
      <c r="N2" s="74" t="s">
        <v>292</v>
      </c>
      <c r="O2" s="31" t="s">
        <v>273</v>
      </c>
      <c r="P2" s="31" t="s">
        <v>275</v>
      </c>
    </row>
    <row r="3" spans="2:16" x14ac:dyDescent="0.3">
      <c r="B3">
        <v>2</v>
      </c>
      <c r="C3" s="31" t="s">
        <v>201</v>
      </c>
      <c r="D3" s="33" t="str">
        <f>Table1[[#This Row],[Data Domain]]</f>
        <v>production-planning</v>
      </c>
      <c r="E3" s="33" t="str">
        <f>IF(Table1[[#This Row],[Has Parent]]="Yes",Table1[[#This Row],[Unique Domain Qualified Name]]&amp;"--"&amp;Table1[[#This Row],[Parent entity Qualified Name3]]&amp;"--"&amp;Table1[[#This Row],[Child entity qualified name2]],Table1[[#This Row],[Unique Domain Qualified Name]]&amp;"--"&amp;Table1[[#This Row],[Child entity qualified name2]])</f>
        <v>production-planning--inventory-and-capacity-planning</v>
      </c>
      <c r="F3" t="s">
        <v>202</v>
      </c>
      <c r="G3" s="33" t="str">
        <f>SUBSTITUTE(SUBSTITUTE(SUBSTITUTE(SUBSTITUTE(LOWER(F3),"&amp;",""),"-",""),"  ","-")," ","-")</f>
        <v>inventory-and-capacity-planning</v>
      </c>
      <c r="H3" t="s">
        <v>179</v>
      </c>
      <c r="I3" t="s">
        <v>180</v>
      </c>
      <c r="L3" s="33"/>
      <c r="M3" s="33"/>
      <c r="N3" t="s">
        <v>293</v>
      </c>
      <c r="O3" t="s">
        <v>277</v>
      </c>
      <c r="P3" s="31" t="s">
        <v>279</v>
      </c>
    </row>
    <row r="4" spans="2:16" x14ac:dyDescent="0.3">
      <c r="B4">
        <v>3</v>
      </c>
      <c r="C4" s="31" t="s">
        <v>204</v>
      </c>
      <c r="D4" s="33" t="str">
        <f>Table1[[#This Row],[Data Domain]]</f>
        <v>operational-monitoring</v>
      </c>
      <c r="E4" s="33" t="str">
        <f>IF(Table1[[#This Row],[Has Parent]]="Yes",Table1[[#This Row],[Unique Domain Qualified Name]]&amp;"--"&amp;Table1[[#This Row],[Parent entity Qualified Name3]]&amp;"--"&amp;Table1[[#This Row],[Child entity qualified name2]],Table1[[#This Row],[Unique Domain Qualified Name]]&amp;"--"&amp;Table1[[#This Row],[Child entity qualified name2]])</f>
        <v>operational-monitoring--machine-health-metrics</v>
      </c>
      <c r="F4" t="s">
        <v>203</v>
      </c>
      <c r="G4" s="33" t="str">
        <f t="shared" ref="G4:G6" si="0">SUBSTITUTE(SUBSTITUTE(SUBSTITUTE(SUBSTITUTE(LOWER(F4),"&amp;",""),"-",""),"  ","-")," ","-")</f>
        <v>machine-health-metrics</v>
      </c>
      <c r="H4" t="s">
        <v>179</v>
      </c>
      <c r="I4" t="s">
        <v>180</v>
      </c>
      <c r="L4" s="33"/>
      <c r="M4" s="33"/>
      <c r="N4" t="s">
        <v>294</v>
      </c>
      <c r="O4" t="s">
        <v>281</v>
      </c>
      <c r="P4" t="s">
        <v>283</v>
      </c>
    </row>
    <row r="5" spans="2:16" x14ac:dyDescent="0.3">
      <c r="B5">
        <v>4</v>
      </c>
      <c r="C5" s="31" t="s">
        <v>207</v>
      </c>
      <c r="D5" s="33" t="str">
        <f>Table1[[#This Row],[Data Domain]]</f>
        <v>order-management</v>
      </c>
      <c r="E5" s="33" t="str">
        <f>IF(Table1[[#This Row],[Has Parent]]="Yes",Table1[[#This Row],[Unique Domain Qualified Name]]&amp;"--"&amp;Table1[[#This Row],[Parent entity Qualified Name3]]&amp;"--"&amp;Table1[[#This Row],[Child entity qualified name2]],Table1[[#This Row],[Unique Domain Qualified Name]]&amp;"--"&amp;Table1[[#This Row],[Child entity qualified name2]])</f>
        <v>order-management--order-processing-and-fulfillment</v>
      </c>
      <c r="F5" t="s">
        <v>205</v>
      </c>
      <c r="G5" s="33" t="str">
        <f t="shared" si="0"/>
        <v>order-processing-and-fulfillment</v>
      </c>
      <c r="H5" t="s">
        <v>179</v>
      </c>
      <c r="I5" t="s">
        <v>180</v>
      </c>
      <c r="L5" s="33"/>
      <c r="M5" s="33"/>
      <c r="N5" t="s">
        <v>295</v>
      </c>
      <c r="O5" t="s">
        <v>285</v>
      </c>
      <c r="P5" t="s">
        <v>287</v>
      </c>
    </row>
    <row r="6" spans="2:16" x14ac:dyDescent="0.3">
      <c r="B6" s="31">
        <v>5</v>
      </c>
      <c r="C6" s="31" t="s">
        <v>207</v>
      </c>
      <c r="D6" s="33" t="str">
        <f>Table1[[#This Row],[Data Domain]]</f>
        <v>order-management</v>
      </c>
      <c r="E6" s="33" t="str">
        <f>IF(Table1[[#This Row],[Has Parent]]="Yes",Table1[[#This Row],[Unique Domain Qualified Name]]&amp;"--"&amp;Table1[[#This Row],[Parent entity Qualified Name3]]&amp;"--"&amp;Table1[[#This Row],[Child entity qualified name2]],Table1[[#This Row],[Unique Domain Qualified Name]]&amp;"--"&amp;Table1[[#This Row],[Child entity qualified name2]])</f>
        <v>order-management--customer-order</v>
      </c>
      <c r="F6" t="s">
        <v>206</v>
      </c>
      <c r="G6" s="33" t="str">
        <f t="shared" si="0"/>
        <v>customer-order</v>
      </c>
      <c r="H6" t="s">
        <v>179</v>
      </c>
      <c r="I6" t="s">
        <v>180</v>
      </c>
      <c r="L6" s="33"/>
      <c r="M6" s="33"/>
      <c r="N6" t="s">
        <v>296</v>
      </c>
      <c r="O6" t="s">
        <v>287</v>
      </c>
      <c r="P6" t="s">
        <v>275</v>
      </c>
    </row>
  </sheetData>
  <phoneticPr fontId="3" type="noConversion"/>
  <conditionalFormatting sqref="J1:K1 K2 J2:J6 K5:K6">
    <cfRule type="expression" dxfId="123" priority="1">
      <formula>$I1="No"</formula>
    </cfRule>
  </conditionalFormatting>
  <conditionalFormatting sqref="K4">
    <cfRule type="expression" dxfId="122" priority="10">
      <formula>$I3="No"</formula>
    </cfRule>
  </conditionalFormatting>
  <conditionalFormatting sqref="K3">
    <cfRule type="expression" dxfId="121" priority="11">
      <formula>#REF!="No"</formula>
    </cfRule>
  </conditionalFormatting>
  <dataValidations count="5">
    <dataValidation type="list" allowBlank="1" showInputMessage="1" showErrorMessage="1" sqref="H2:I6" xr:uid="{9477104F-B9B7-42B6-9935-2FA48BCD1889}">
      <formula1>"Yes, No"</formula1>
    </dataValidation>
    <dataValidation type="custom" allowBlank="1" showInputMessage="1" showErrorMessage="1" sqref="L4 N4" xr:uid="{084DE511-78F5-4A04-A1FB-45B75A6FE937}">
      <formula1>$I3&lt;&gt;"Yes"</formula1>
    </dataValidation>
    <dataValidation type="custom" allowBlank="1" showInputMessage="1" showErrorMessage="1" sqref="L3 N3" xr:uid="{A662C423-2DCF-46B8-9BCE-079D2FEF1C82}">
      <formula1>#REF!&lt;&gt;"Yes"</formula1>
    </dataValidation>
    <dataValidation type="list" allowBlank="1" showInputMessage="1" showErrorMessage="1" sqref="K2:K6" xr:uid="{4C31DD2B-D219-4560-AA71-411059DEFC4A}">
      <formula1>$E$2:$E$6</formula1>
    </dataValidation>
    <dataValidation type="custom" allowBlank="1" showInputMessage="1" showErrorMessage="1" sqref="L5:L6 N5:N6" xr:uid="{57B225E9-B2A5-404A-A0F3-F18E05BC7842}">
      <formula1>$I5&lt;&gt;"Yes"</formula1>
    </dataValidation>
  </dataValidations>
  <pageMargins left="0.7" right="0.7" top="0.75" bottom="0.75" header="0.3" footer="0.3"/>
  <pageSetup orientation="portrait" r:id="rId1"/>
  <ignoredErrors>
    <ignoredError sqref="N3" listDataValidation="1"/>
  </ignoredErrors>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0BD9A0B-0729-40B9-AD4C-ABE9CFA922D1}">
          <x14:formula1>
            <xm:f>'1. L1 Data Domains'!$C$2:$C$2</xm:f>
          </x14:formula1>
          <xm:sqref>C1</xm:sqref>
        </x14:dataValidation>
        <x14:dataValidation type="list" allowBlank="1" showInputMessage="1" showErrorMessage="1" xr:uid="{5C3779AB-8D7D-4A9B-A6A7-5682EA556C2C}">
          <x14:formula1>
            <xm:f>'1. L1 Data Domains'!$D:$D</xm:f>
          </x14:formula1>
          <xm:sqref>C2:C6</xm:sqref>
        </x14:dataValidation>
        <x14:dataValidation type="list" allowBlank="1" showInputMessage="1" showErrorMessage="1" xr:uid="{40C99E8F-7751-42AB-86CF-D5D8DB29E738}">
          <x14:formula1>
            <xm:f>'9. Person Table'!$D$2:$D$9</xm:f>
          </x14:formula1>
          <xm:sqref>O2:P6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7DD04-C556-40CF-9BD7-11209734D7BA}">
  <sheetPr codeName="Sheet7"/>
  <dimension ref="A1:O22"/>
  <sheetViews>
    <sheetView zoomScaleNormal="100" workbookViewId="0">
      <selection activeCell="D46" sqref="D46"/>
    </sheetView>
  </sheetViews>
  <sheetFormatPr defaultRowHeight="14.4" x14ac:dyDescent="0.3"/>
  <cols>
    <col min="1" max="1" width="9.21875" style="31"/>
    <col min="2" max="2" width="13.21875" style="31" customWidth="1"/>
    <col min="3" max="3" width="24.109375" style="31" customWidth="1"/>
    <col min="4" max="4" width="66.21875" style="31" customWidth="1"/>
    <col min="5" max="5" width="31.33203125" style="31" customWidth="1"/>
    <col min="6" max="6" width="29.33203125" style="31" bestFit="1" customWidth="1"/>
    <col min="7" max="7" width="39.21875" style="31" bestFit="1" customWidth="1"/>
    <col min="8" max="8" width="109.21875" style="31" bestFit="1" customWidth="1"/>
    <col min="9" max="9" width="171" style="31" bestFit="1" customWidth="1"/>
    <col min="10" max="13" width="26.77734375" style="31" customWidth="1"/>
    <col min="14" max="14" width="32.77734375" style="31" customWidth="1"/>
    <col min="15" max="15" width="42.21875" style="31" bestFit="1" customWidth="1"/>
  </cols>
  <sheetData>
    <row r="1" spans="2:15" x14ac:dyDescent="0.3">
      <c r="B1" t="s">
        <v>13</v>
      </c>
      <c r="C1" s="30" t="s">
        <v>46</v>
      </c>
      <c r="D1" t="s">
        <v>120</v>
      </c>
      <c r="E1" t="s">
        <v>48</v>
      </c>
      <c r="F1" s="30" t="s">
        <v>121</v>
      </c>
      <c r="G1" s="30" t="s">
        <v>122</v>
      </c>
      <c r="H1" s="30" t="s">
        <v>50</v>
      </c>
      <c r="I1" t="s">
        <v>21</v>
      </c>
      <c r="J1" t="s">
        <v>52</v>
      </c>
      <c r="K1" t="s">
        <v>54</v>
      </c>
      <c r="L1" t="s">
        <v>56</v>
      </c>
      <c r="M1" t="s">
        <v>58</v>
      </c>
      <c r="N1" t="s">
        <v>40</v>
      </c>
      <c r="O1" t="s">
        <v>42</v>
      </c>
    </row>
    <row r="2" spans="2:15" x14ac:dyDescent="0.3">
      <c r="B2">
        <v>1</v>
      </c>
      <c r="C2" s="1" t="s">
        <v>200</v>
      </c>
      <c r="D2" t="s">
        <v>229</v>
      </c>
      <c r="E2" t="s">
        <v>208</v>
      </c>
      <c r="F2" s="18" t="str">
        <f>IF(RIGHT(Table3[[#This Row],[Attribute Name]],1)=" ",LEFT(Table3[[#This Row],[Attribute Name]],(LEN(Table3[[#This Row],[Attribute Name]]))-1),Table3[[#This Row],[Attribute Name]])</f>
        <v>Product Counter</v>
      </c>
      <c r="G2" s="2" t="str">
        <f>SUBSTITUTE(SUBSTITUTE(SUBSTITUTE(SUBSTITUTE(LOWER(F2),"&amp;",""),"-",""),"  ","-")," ","-")</f>
        <v>product-counter</v>
      </c>
      <c r="H2" s="33" t="str">
        <f>IF(Table3[[#This Row],[Unique entity qualified name]]&lt;&gt;"",Table3[[#This Row],[Unique entity qualified name]]&amp;"--"&amp;Table3[[#This Row],[Data attribute qualified name]],"")</f>
        <v>production-planning--production-performance--product-counter</v>
      </c>
      <c r="I2" s="96" t="s">
        <v>300</v>
      </c>
      <c r="J2" t="s">
        <v>182</v>
      </c>
      <c r="K2"/>
      <c r="L2"/>
      <c r="M2"/>
      <c r="N2" t="s">
        <v>273</v>
      </c>
      <c r="O2" t="s">
        <v>275</v>
      </c>
    </row>
    <row r="3" spans="2:15" x14ac:dyDescent="0.3">
      <c r="B3">
        <v>2</v>
      </c>
      <c r="C3" s="1" t="s">
        <v>200</v>
      </c>
      <c r="D3" t="s">
        <v>229</v>
      </c>
      <c r="E3" t="s">
        <v>227</v>
      </c>
      <c r="F3" s="18" t="str">
        <f>IF(RIGHT(Table3[[#This Row],[Attribute Name]],1)=" ",LEFT(Table3[[#This Row],[Attribute Name]],(LEN(Table3[[#This Row],[Attribute Name]]))-1),Table3[[#This Row],[Attribute Name]])</f>
        <v>Scrap Counter</v>
      </c>
      <c r="G3" s="2" t="str">
        <f t="shared" ref="G3:G5" si="0">SUBSTITUTE(SUBSTITUTE(SUBSTITUTE(SUBSTITUTE(LOWER(F3),"&amp;",""),"-",""),"  ","-")," ","-")</f>
        <v>scrap-counter</v>
      </c>
      <c r="H3" s="33" t="str">
        <f>IF(Table3[[#This Row],[Unique entity qualified name]]&lt;&gt;"",Table3[[#This Row],[Unique entity qualified name]]&amp;"--"&amp;Table3[[#This Row],[Data attribute qualified name]],"")</f>
        <v>production-planning--production-performance--scrap-counter</v>
      </c>
      <c r="I3" s="96" t="s">
        <v>301</v>
      </c>
      <c r="J3" t="s">
        <v>182</v>
      </c>
      <c r="K3"/>
      <c r="L3"/>
      <c r="M3"/>
      <c r="N3" t="s">
        <v>277</v>
      </c>
      <c r="O3" t="s">
        <v>279</v>
      </c>
    </row>
    <row r="4" spans="2:15" x14ac:dyDescent="0.3">
      <c r="B4">
        <v>3</v>
      </c>
      <c r="C4" s="1" t="s">
        <v>200</v>
      </c>
      <c r="D4" t="s">
        <v>229</v>
      </c>
      <c r="E4" t="s">
        <v>209</v>
      </c>
      <c r="F4" s="18" t="str">
        <f>IF(RIGHT(Table3[[#This Row],[Attribute Name]],1)=" ",LEFT(Table3[[#This Row],[Attribute Name]],(LEN(Table3[[#This Row],[Attribute Name]]))-1),Table3[[#This Row],[Attribute Name]])</f>
        <v>Yield</v>
      </c>
      <c r="G4" s="2" t="str">
        <f t="shared" si="0"/>
        <v>yield</v>
      </c>
      <c r="H4" s="33" t="str">
        <f>IF(Table3[[#This Row],[Unique entity qualified name]]&lt;&gt;"",Table3[[#This Row],[Unique entity qualified name]]&amp;"--"&amp;Table3[[#This Row],[Data attribute qualified name]],"")</f>
        <v>production-planning--production-performance--yield</v>
      </c>
      <c r="I4" s="97" t="s">
        <v>302</v>
      </c>
      <c r="J4" t="s">
        <v>182</v>
      </c>
      <c r="K4"/>
      <c r="L4"/>
      <c r="M4"/>
      <c r="N4" t="s">
        <v>279</v>
      </c>
      <c r="O4" t="s">
        <v>281</v>
      </c>
    </row>
    <row r="5" spans="2:15" x14ac:dyDescent="0.3">
      <c r="B5">
        <v>4</v>
      </c>
      <c r="C5" s="1" t="s">
        <v>200</v>
      </c>
      <c r="D5" t="s">
        <v>229</v>
      </c>
      <c r="E5" t="s">
        <v>210</v>
      </c>
      <c r="F5" s="18" t="str">
        <f>IF(RIGHT(Table3[[#This Row],[Attribute Name]],1)=" ",LEFT(Table3[[#This Row],[Attribute Name]],(LEN(Table3[[#This Row],[Attribute Name]]))-1),Table3[[#This Row],[Attribute Name]])</f>
        <v>Throughput</v>
      </c>
      <c r="G5" s="2" t="str">
        <f t="shared" si="0"/>
        <v>throughput</v>
      </c>
      <c r="H5" s="33" t="str">
        <f>IF(Table3[[#This Row],[Unique entity qualified name]]&lt;&gt;"",Table3[[#This Row],[Unique entity qualified name]]&amp;"--"&amp;Table3[[#This Row],[Data attribute qualified name]],"")</f>
        <v>production-planning--production-performance--throughput</v>
      </c>
      <c r="I5" s="96" t="s">
        <v>303</v>
      </c>
      <c r="J5" t="s">
        <v>182</v>
      </c>
      <c r="K5"/>
      <c r="L5"/>
      <c r="M5"/>
      <c r="N5" t="s">
        <v>277</v>
      </c>
      <c r="O5" t="s">
        <v>279</v>
      </c>
    </row>
    <row r="6" spans="2:15" x14ac:dyDescent="0.3">
      <c r="B6">
        <v>5</v>
      </c>
      <c r="C6" s="1" t="s">
        <v>200</v>
      </c>
      <c r="D6" t="s">
        <v>229</v>
      </c>
      <c r="E6" t="s">
        <v>177</v>
      </c>
      <c r="F6" s="18" t="str">
        <f>IF(RIGHT(Table3[[#This Row],[Attribute Name]],1)=" ",LEFT(Table3[[#This Row],[Attribute Name]],(LEN(Table3[[#This Row],[Attribute Name]]))-1),Table3[[#This Row],[Attribute Name]])</f>
        <v>State</v>
      </c>
      <c r="G6" s="2" t="str">
        <f t="shared" ref="G6:G15" si="1">SUBSTITUTE(SUBSTITUTE(SUBSTITUTE(SUBSTITUTE(LOWER(F6),"&amp;",""),"-",""),"  ","-")," ","-")</f>
        <v>state</v>
      </c>
      <c r="H6" s="33" t="str">
        <f>IF(Table3[[#This Row],[Unique entity qualified name]]&lt;&gt;"",Table3[[#This Row],[Unique entity qualified name]]&amp;"--"&amp;Table3[[#This Row],[Data attribute qualified name]],"")</f>
        <v>production-planning--production-performance--state</v>
      </c>
      <c r="I6" s="96" t="s">
        <v>304</v>
      </c>
      <c r="J6" t="s">
        <v>181</v>
      </c>
      <c r="K6"/>
      <c r="L6"/>
      <c r="M6"/>
      <c r="N6" t="s">
        <v>275</v>
      </c>
      <c r="O6" t="s">
        <v>273</v>
      </c>
    </row>
    <row r="7" spans="2:15" ht="26.4" x14ac:dyDescent="0.3">
      <c r="B7">
        <v>6</v>
      </c>
      <c r="C7" s="1" t="s">
        <v>202</v>
      </c>
      <c r="D7" t="s">
        <v>230</v>
      </c>
      <c r="E7" t="s">
        <v>211</v>
      </c>
      <c r="F7" s="18" t="str">
        <f>IF(RIGHT(Table3[[#This Row],[Attribute Name]],1)=" ",LEFT(Table3[[#This Row],[Attribute Name]],(LEN(Table3[[#This Row],[Attribute Name]]))-1),Table3[[#This Row],[Attribute Name]])</f>
        <v>Inventory Level</v>
      </c>
      <c r="G7" s="2" t="str">
        <f>SUBSTITUTE(SUBSTITUTE(SUBSTITUTE(SUBSTITUTE(LOWER(F7),"&amp;",""),"-",""),"  ","-")," ","-")</f>
        <v>inventory-level</v>
      </c>
      <c r="H7" s="33" t="str">
        <f>IF(Table3[[#This Row],[Unique entity qualified name]]&lt;&gt;"",Table3[[#This Row],[Unique entity qualified name]]&amp;"--"&amp;Table3[[#This Row],[Data attribute qualified name]],"")</f>
        <v>production-planning--inventory-and-capacity-planning--inventory-level</v>
      </c>
      <c r="I7" s="96" t="s">
        <v>305</v>
      </c>
      <c r="J7" t="s">
        <v>182</v>
      </c>
      <c r="K7"/>
      <c r="L7"/>
      <c r="M7"/>
      <c r="N7" t="s">
        <v>281</v>
      </c>
      <c r="O7" t="s">
        <v>277</v>
      </c>
    </row>
    <row r="8" spans="2:15" ht="26.4" x14ac:dyDescent="0.3">
      <c r="B8">
        <v>7</v>
      </c>
      <c r="C8" s="1" t="s">
        <v>202</v>
      </c>
      <c r="D8" t="s">
        <v>230</v>
      </c>
      <c r="E8" t="s">
        <v>212</v>
      </c>
      <c r="F8" s="18" t="str">
        <f>IF(RIGHT(Table3[[#This Row],[Attribute Name]],1)=" ",LEFT(Table3[[#This Row],[Attribute Name]],(LEN(Table3[[#This Row],[Attribute Name]]))-1),Table3[[#This Row],[Attribute Name]])</f>
        <v>Planned Orders Today</v>
      </c>
      <c r="G8" s="2" t="str">
        <f t="shared" ref="G8" si="2">SUBSTITUTE(SUBSTITUTE(SUBSTITUTE(SUBSTITUTE(LOWER(F8),"&amp;",""),"-",""),"  ","-")," ","-")</f>
        <v>planned-orders-today</v>
      </c>
      <c r="H8" s="33" t="str">
        <f>IF(Table3[[#This Row],[Unique entity qualified name]]&lt;&gt;"",Table3[[#This Row],[Unique entity qualified name]]&amp;"--"&amp;Table3[[#This Row],[Data attribute qualified name]],"")</f>
        <v>production-planning--inventory-and-capacity-planning--planned-orders-today</v>
      </c>
      <c r="I8" s="96" t="s">
        <v>306</v>
      </c>
      <c r="J8" t="s">
        <v>182</v>
      </c>
      <c r="K8"/>
      <c r="L8"/>
      <c r="M8"/>
      <c r="N8" t="s">
        <v>275</v>
      </c>
      <c r="O8" t="s">
        <v>273</v>
      </c>
    </row>
    <row r="9" spans="2:15" x14ac:dyDescent="0.3">
      <c r="B9">
        <v>8</v>
      </c>
      <c r="C9" s="1" t="s">
        <v>203</v>
      </c>
      <c r="D9" t="s">
        <v>231</v>
      </c>
      <c r="E9" t="s">
        <v>213</v>
      </c>
      <c r="F9" s="18" t="str">
        <f>IF(RIGHT(Table3[[#This Row],[Attribute Name]],1)=" ",LEFT(Table3[[#This Row],[Attribute Name]],(LEN(Table3[[#This Row],[Attribute Name]]))-1),Table3[[#This Row],[Attribute Name]])</f>
        <v>Air Pressure</v>
      </c>
      <c r="G9" s="2" t="str">
        <f>SUBSTITUTE(SUBSTITUTE(SUBSTITUTE(SUBSTITUTE(LOWER(F9),"&amp;",""),"-",""),"  ","-")," ","-")</f>
        <v>air-pressure</v>
      </c>
      <c r="H9" s="33" t="str">
        <f>IF(Table3[[#This Row],[Unique entity qualified name]]&lt;&gt;"",Table3[[#This Row],[Unique entity qualified name]]&amp;"--"&amp;Table3[[#This Row],[Data attribute qualified name]],"")</f>
        <v>operational-monitoring--machine-health-metrics--air-pressure</v>
      </c>
      <c r="I9" s="96" t="s">
        <v>307</v>
      </c>
      <c r="J9" t="s">
        <v>182</v>
      </c>
      <c r="K9"/>
      <c r="L9"/>
      <c r="M9"/>
      <c r="N9" t="s">
        <v>281</v>
      </c>
      <c r="O9" t="s">
        <v>277</v>
      </c>
    </row>
    <row r="10" spans="2:15" x14ac:dyDescent="0.3">
      <c r="B10">
        <v>9</v>
      </c>
      <c r="C10" s="1" t="s">
        <v>203</v>
      </c>
      <c r="D10" t="s">
        <v>231</v>
      </c>
      <c r="E10" t="s">
        <v>214</v>
      </c>
      <c r="F10" s="18" t="str">
        <f>IF(RIGHT(Table3[[#This Row],[Attribute Name]],1)=" ",LEFT(Table3[[#This Row],[Attribute Name]],(LEN(Table3[[#This Row],[Attribute Name]]))-1),Table3[[#This Row],[Attribute Name]])</f>
        <v>Motor Temperature</v>
      </c>
      <c r="G10" s="2" t="str">
        <f t="shared" ref="G10" si="3">SUBSTITUTE(SUBSTITUTE(SUBSTITUTE(SUBSTITUTE(LOWER(F10),"&amp;",""),"-",""),"  ","-")," ","-")</f>
        <v>motor-temperature</v>
      </c>
      <c r="H10" s="33" t="str">
        <f>IF(Table3[[#This Row],[Unique entity qualified name]]&lt;&gt;"",Table3[[#This Row],[Unique entity qualified name]]&amp;"--"&amp;Table3[[#This Row],[Data attribute qualified name]],"")</f>
        <v>operational-monitoring--machine-health-metrics--motor-temperature</v>
      </c>
      <c r="I10" s="96" t="s">
        <v>308</v>
      </c>
      <c r="J10" t="s">
        <v>182</v>
      </c>
      <c r="K10"/>
      <c r="L10"/>
      <c r="M10"/>
      <c r="N10" t="s">
        <v>279</v>
      </c>
      <c r="O10" t="s">
        <v>273</v>
      </c>
    </row>
    <row r="11" spans="2:15" x14ac:dyDescent="0.3">
      <c r="B11">
        <v>10</v>
      </c>
      <c r="C11" s="1" t="s">
        <v>203</v>
      </c>
      <c r="D11" t="s">
        <v>231</v>
      </c>
      <c r="E11" t="s">
        <v>215</v>
      </c>
      <c r="F11" s="18" t="str">
        <f>IF(RIGHT(Table3[[#This Row],[Attribute Name]],1)=" ",LEFT(Table3[[#This Row],[Attribute Name]],(LEN(Table3[[#This Row],[Attribute Name]]))-1),Table3[[#This Row],[Attribute Name]])</f>
        <v>Total Power</v>
      </c>
      <c r="G11" s="2" t="str">
        <f t="shared" si="1"/>
        <v>total-power</v>
      </c>
      <c r="H11" s="33" t="str">
        <f>IF(Table3[[#This Row],[Unique entity qualified name]]&lt;&gt;"",Table3[[#This Row],[Unique entity qualified name]]&amp;"--"&amp;Table3[[#This Row],[Data attribute qualified name]],"")</f>
        <v>operational-monitoring--machine-health-metrics--total-power</v>
      </c>
      <c r="I11" s="96" t="s">
        <v>309</v>
      </c>
      <c r="J11" t="s">
        <v>182</v>
      </c>
      <c r="K11"/>
      <c r="L11"/>
      <c r="M11"/>
      <c r="N11" t="s">
        <v>275</v>
      </c>
      <c r="O11" s="98" t="s">
        <v>277</v>
      </c>
    </row>
    <row r="12" spans="2:15" ht="26.4" x14ac:dyDescent="0.3">
      <c r="B12">
        <v>11</v>
      </c>
      <c r="C12" s="1" t="s">
        <v>205</v>
      </c>
      <c r="D12" t="s">
        <v>232</v>
      </c>
      <c r="E12" t="s">
        <v>216</v>
      </c>
      <c r="F12" s="18" t="str">
        <f>IF(RIGHT(Table3[[#This Row],[Attribute Name]],1)=" ",LEFT(Table3[[#This Row],[Attribute Name]],(LEN(Table3[[#This Row],[Attribute Name]]))-1),Table3[[#This Row],[Attribute Name]])</f>
        <v>Fulfilled Orders Today</v>
      </c>
      <c r="G12" s="2" t="str">
        <f t="shared" si="1"/>
        <v>fulfilled-orders-today</v>
      </c>
      <c r="H12" s="33" t="str">
        <f>IF(Table3[[#This Row],[Unique entity qualified name]]&lt;&gt;"",Table3[[#This Row],[Unique entity qualified name]]&amp;"--"&amp;Table3[[#This Row],[Data attribute qualified name]],"")</f>
        <v>order-management--order-processing-and-fulfillment--fulfilled-orders-today</v>
      </c>
      <c r="I12" s="96" t="s">
        <v>310</v>
      </c>
      <c r="J12" t="s">
        <v>182</v>
      </c>
      <c r="K12"/>
      <c r="L12"/>
      <c r="M12"/>
      <c r="N12" t="s">
        <v>279</v>
      </c>
      <c r="O12" t="s">
        <v>273</v>
      </c>
    </row>
    <row r="13" spans="2:15" ht="26.4" x14ac:dyDescent="0.3">
      <c r="B13">
        <v>12</v>
      </c>
      <c r="C13" s="1" t="s">
        <v>205</v>
      </c>
      <c r="D13" t="s">
        <v>232</v>
      </c>
      <c r="E13" t="s">
        <v>217</v>
      </c>
      <c r="F13" s="18" t="str">
        <f>IF(RIGHT(Table3[[#This Row],[Attribute Name]],1)=" ",LEFT(Table3[[#This Row],[Attribute Name]],(LEN(Table3[[#This Row],[Attribute Name]]))-1),Table3[[#This Row],[Attribute Name]])</f>
        <v>Order Fulfillment</v>
      </c>
      <c r="G13" s="2" t="str">
        <f t="shared" si="1"/>
        <v>order-fulfillment</v>
      </c>
      <c r="H13" s="33" t="str">
        <f>IF(Table3[[#This Row],[Unique entity qualified name]]&lt;&gt;"",Table3[[#This Row],[Unique entity qualified name]]&amp;"--"&amp;Table3[[#This Row],[Data attribute qualified name]],"")</f>
        <v>order-management--order-processing-and-fulfillment--order-fulfillment</v>
      </c>
      <c r="I13" s="96" t="s">
        <v>311</v>
      </c>
      <c r="J13" t="s">
        <v>182</v>
      </c>
      <c r="K13"/>
      <c r="L13"/>
      <c r="M13"/>
      <c r="N13" t="s">
        <v>273</v>
      </c>
      <c r="O13" t="s">
        <v>275</v>
      </c>
    </row>
    <row r="14" spans="2:15" ht="26.4" x14ac:dyDescent="0.3">
      <c r="B14">
        <v>13</v>
      </c>
      <c r="C14" s="1" t="s">
        <v>205</v>
      </c>
      <c r="D14" t="s">
        <v>232</v>
      </c>
      <c r="E14" t="s">
        <v>218</v>
      </c>
      <c r="F14" s="18" t="str">
        <f>IF(RIGHT(Table3[[#This Row],[Attribute Name]],1)=" ",LEFT(Table3[[#This Row],[Attribute Name]],(LEN(Table3[[#This Row],[Attribute Name]]))-1),Table3[[#This Row],[Attribute Name]])</f>
        <v>Fulfilled Quantity</v>
      </c>
      <c r="G14" s="2" t="str">
        <f t="shared" si="1"/>
        <v>fulfilled-quantity</v>
      </c>
      <c r="H14" s="33" t="str">
        <f>IF(Table3[[#This Row],[Unique entity qualified name]]&lt;&gt;"",Table3[[#This Row],[Unique entity qualified name]]&amp;"--"&amp;Table3[[#This Row],[Data attribute qualified name]],"")</f>
        <v>order-management--order-processing-and-fulfillment--fulfilled-quantity</v>
      </c>
      <c r="I14" s="96" t="s">
        <v>312</v>
      </c>
      <c r="J14" t="s">
        <v>182</v>
      </c>
      <c r="K14"/>
      <c r="L14"/>
      <c r="M14"/>
      <c r="N14" t="s">
        <v>281</v>
      </c>
      <c r="O14" t="s">
        <v>273</v>
      </c>
    </row>
    <row r="15" spans="2:15" ht="26.4" x14ac:dyDescent="0.3">
      <c r="B15">
        <v>14</v>
      </c>
      <c r="C15" s="1" t="s">
        <v>205</v>
      </c>
      <c r="D15" t="s">
        <v>232</v>
      </c>
      <c r="E15" t="s">
        <v>219</v>
      </c>
      <c r="F15" s="18" t="str">
        <f>IF(RIGHT(Table3[[#This Row],[Attribute Name]],1)=" ",LEFT(Table3[[#This Row],[Attribute Name]],(LEN(Table3[[#This Row],[Attribute Name]]))-1),Table3[[#This Row],[Attribute Name]])</f>
        <v>Current Fulfillment</v>
      </c>
      <c r="G15" s="2" t="str">
        <f t="shared" si="1"/>
        <v>current-fulfillment</v>
      </c>
      <c r="H15" s="33" t="str">
        <f>IF(Table3[[#This Row],[Unique entity qualified name]]&lt;&gt;"",Table3[[#This Row],[Unique entity qualified name]]&amp;"--"&amp;Table3[[#This Row],[Data attribute qualified name]],"")</f>
        <v>order-management--order-processing-and-fulfillment--current-fulfillment</v>
      </c>
      <c r="I15" s="96" t="s">
        <v>313</v>
      </c>
      <c r="J15" t="s">
        <v>182</v>
      </c>
      <c r="K15"/>
      <c r="L15"/>
      <c r="M15"/>
      <c r="N15" t="s">
        <v>277</v>
      </c>
      <c r="O15" t="s">
        <v>279</v>
      </c>
    </row>
    <row r="16" spans="2:15" ht="26.4" x14ac:dyDescent="0.3">
      <c r="B16">
        <v>15</v>
      </c>
      <c r="C16" s="1" t="s">
        <v>205</v>
      </c>
      <c r="D16" t="s">
        <v>232</v>
      </c>
      <c r="E16" t="s">
        <v>228</v>
      </c>
      <c r="F16" s="18" t="str">
        <f>IF(RIGHT(Table3[[#This Row],[Attribute Name]],1)=" ",LEFT(Table3[[#This Row],[Attribute Name]],(LEN(Table3[[#This Row],[Attribute Name]]))-1),Table3[[#This Row],[Attribute Name]])</f>
        <v>Estimate Time of Completion</v>
      </c>
      <c r="G16" s="2" t="str">
        <f t="shared" ref="G16:G17" si="4">SUBSTITUTE(SUBSTITUTE(SUBSTITUTE(SUBSTITUTE(LOWER(F16),"&amp;",""),"-",""),"  ","-")," ","-")</f>
        <v>estimate-time-of-completion</v>
      </c>
      <c r="H16" s="33" t="str">
        <f>IF(Table3[[#This Row],[Unique entity qualified name]]&lt;&gt;"",Table3[[#This Row],[Unique entity qualified name]]&amp;"--"&amp;Table3[[#This Row],[Data attribute qualified name]],"")</f>
        <v>order-management--order-processing-and-fulfillment--estimate-time-of-completion</v>
      </c>
      <c r="I16" s="96" t="s">
        <v>314</v>
      </c>
      <c r="J16" t="s">
        <v>182</v>
      </c>
      <c r="K16"/>
      <c r="L16"/>
      <c r="M16"/>
      <c r="N16" t="s">
        <v>275</v>
      </c>
      <c r="O16" t="s">
        <v>281</v>
      </c>
    </row>
    <row r="17" spans="2:15" ht="26.4" x14ac:dyDescent="0.3">
      <c r="B17">
        <v>16</v>
      </c>
      <c r="C17" s="1" t="s">
        <v>205</v>
      </c>
      <c r="D17" t="s">
        <v>232</v>
      </c>
      <c r="E17" t="s">
        <v>221</v>
      </c>
      <c r="F17" s="35" t="str">
        <f>IF(RIGHT(Table3[[#This Row],[Attribute Name]],1)=" ",LEFT(Table3[[#This Row],[Attribute Name]],(LEN(Table3[[#This Row],[Attribute Name]]))-1),Table3[[#This Row],[Attribute Name]])</f>
        <v>Next Order Number</v>
      </c>
      <c r="G17" s="36" t="str">
        <f t="shared" si="4"/>
        <v>next-order-number</v>
      </c>
      <c r="H17" s="33" t="str">
        <f>IF(Table3[[#This Row],[Unique entity qualified name]]&lt;&gt;"",Table3[[#This Row],[Unique entity qualified name]]&amp;"--"&amp;Table3[[#This Row],[Data attribute qualified name]],"")</f>
        <v>order-management--order-processing-and-fulfillment--next-order-number</v>
      </c>
      <c r="I17" s="96" t="s">
        <v>315</v>
      </c>
      <c r="J17" t="s">
        <v>181</v>
      </c>
      <c r="K17"/>
      <c r="L17"/>
      <c r="M17"/>
      <c r="N17" t="s">
        <v>279</v>
      </c>
      <c r="O17" t="s">
        <v>273</v>
      </c>
    </row>
    <row r="18" spans="2:15" ht="26.4" x14ac:dyDescent="0.3">
      <c r="B18">
        <v>17</v>
      </c>
      <c r="C18" s="87" t="s">
        <v>205</v>
      </c>
      <c r="D18" t="s">
        <v>232</v>
      </c>
      <c r="E18" s="88" t="s">
        <v>222</v>
      </c>
      <c r="F18" s="18" t="str">
        <f>IF(RIGHT(Table3[[#This Row],[Attribute Name]],1)=" ",LEFT(Table3[[#This Row],[Attribute Name]],(LEN(Table3[[#This Row],[Attribute Name]]))-1),Table3[[#This Row],[Attribute Name]])</f>
        <v>Current Order</v>
      </c>
      <c r="G18" s="2" t="str">
        <f>SUBSTITUTE(SUBSTITUTE(SUBSTITUTE(SUBSTITUTE(LOWER(F18),"&amp;",""),"-",""),"  ","-")," ","-")</f>
        <v>current-order</v>
      </c>
      <c r="H18" s="33" t="str">
        <f>IF(Table3[[#This Row],[Unique entity qualified name]]&lt;&gt;"",Table3[[#This Row],[Unique entity qualified name]]&amp;"--"&amp;Table3[[#This Row],[Data attribute qualified name]],"")</f>
        <v>order-management--order-processing-and-fulfillment--current-order</v>
      </c>
      <c r="I18" s="96" t="s">
        <v>316</v>
      </c>
      <c r="J18" s="86" t="s">
        <v>181</v>
      </c>
      <c r="K18" s="86"/>
      <c r="L18" s="86"/>
      <c r="M18" s="86"/>
      <c r="N18" s="86" t="s">
        <v>279</v>
      </c>
      <c r="O18" s="86" t="s">
        <v>277</v>
      </c>
    </row>
    <row r="19" spans="2:15" x14ac:dyDescent="0.3">
      <c r="B19">
        <v>18</v>
      </c>
      <c r="C19" s="84" t="s">
        <v>206</v>
      </c>
      <c r="D19" s="31" t="s">
        <v>323</v>
      </c>
      <c r="E19" s="85" t="s">
        <v>223</v>
      </c>
      <c r="F19" s="18" t="str">
        <f>IF(RIGHT(Table3[[#This Row],[Attribute Name]],1)=" ",LEFT(Table3[[#This Row],[Attribute Name]],(LEN(Table3[[#This Row],[Attribute Name]]))-1),Table3[[#This Row],[Attribute Name]])</f>
        <v>Order Id</v>
      </c>
      <c r="G19" s="2" t="str">
        <f t="shared" ref="G19" si="5">SUBSTITUTE(SUBSTITUTE(SUBSTITUTE(SUBSTITUTE(LOWER(F19),"&amp;",""),"-",""),"  ","-")," ","-")</f>
        <v>order-id</v>
      </c>
      <c r="H19" s="33" t="str">
        <f>IF(Table3[[#This Row],[Unique entity qualified name]]&lt;&gt;"",Table3[[#This Row],[Unique entity qualified name]]&amp;"--"&amp;Table3[[#This Row],[Data attribute qualified name]],"")</f>
        <v>order-management--customer-order--order-id</v>
      </c>
      <c r="I19" s="96" t="s">
        <v>317</v>
      </c>
      <c r="J19" s="1" t="s">
        <v>181</v>
      </c>
      <c r="K19" s="1"/>
      <c r="L19" s="1"/>
      <c r="M19" s="1"/>
      <c r="N19" s="1" t="s">
        <v>281</v>
      </c>
      <c r="O19" s="1" t="s">
        <v>275</v>
      </c>
    </row>
    <row r="20" spans="2:15" ht="26.4" x14ac:dyDescent="0.3">
      <c r="B20">
        <v>19</v>
      </c>
      <c r="C20" s="87" t="s">
        <v>206</v>
      </c>
      <c r="D20" s="31" t="s">
        <v>323</v>
      </c>
      <c r="E20" s="88" t="s">
        <v>224</v>
      </c>
      <c r="F20" s="93" t="str">
        <f>IF(RIGHT(Table3[[#This Row],[Attribute Name]],1)=" ",LEFT(Table3[[#This Row],[Attribute Name]],(LEN(Table3[[#This Row],[Attribute Name]]))-1),Table3[[#This Row],[Attribute Name]])</f>
        <v>Ordered Quantity</v>
      </c>
      <c r="G20" s="2" t="str">
        <f>SUBSTITUTE(SUBSTITUTE(SUBSTITUTE(SUBSTITUTE(LOWER(F20),"&amp;",""),"-",""),"  ","-")," ","-")</f>
        <v>ordered-quantity</v>
      </c>
      <c r="H20" s="94" t="str">
        <f>IF(Table3[[#This Row],[Unique entity qualified name]]&lt;&gt;"",Table3[[#This Row],[Unique entity qualified name]]&amp;"--"&amp;Table3[[#This Row],[Data attribute qualified name]],"")</f>
        <v>order-management--customer-order--ordered-quantity</v>
      </c>
      <c r="I20" s="96" t="s">
        <v>318</v>
      </c>
      <c r="J20" s="86" t="s">
        <v>182</v>
      </c>
      <c r="K20" s="86"/>
      <c r="L20" s="86"/>
      <c r="M20" s="86"/>
      <c r="N20" s="86" t="s">
        <v>275</v>
      </c>
      <c r="O20" s="86" t="s">
        <v>279</v>
      </c>
    </row>
    <row r="21" spans="2:15" x14ac:dyDescent="0.3">
      <c r="B21">
        <v>20</v>
      </c>
      <c r="C21" s="87" t="s">
        <v>206</v>
      </c>
      <c r="D21" s="31" t="s">
        <v>323</v>
      </c>
      <c r="E21" s="88" t="s">
        <v>225</v>
      </c>
      <c r="F21" s="93" t="str">
        <f>IF(RIGHT(Table3[[#This Row],[Attribute Name]],1)=" ",LEFT(Table3[[#This Row],[Attribute Name]],(LEN(Table3[[#This Row],[Attribute Name]]))-1),Table3[[#This Row],[Attribute Name]])</f>
        <v>Shipment Slot</v>
      </c>
      <c r="G21" s="2" t="str">
        <f>SUBSTITUTE(SUBSTITUTE(SUBSTITUTE(SUBSTITUTE(LOWER(F21),"&amp;",""),"-",""),"  ","-")," ","-")</f>
        <v>shipment-slot</v>
      </c>
      <c r="H21" s="94" t="str">
        <f>IF(Table3[[#This Row],[Unique entity qualified name]]&lt;&gt;"",Table3[[#This Row],[Unique entity qualified name]]&amp;"--"&amp;Table3[[#This Row],[Data attribute qualified name]],"")</f>
        <v>order-management--customer-order--shipment-slot</v>
      </c>
      <c r="I21" s="96" t="s">
        <v>319</v>
      </c>
      <c r="J21" s="86" t="s">
        <v>3</v>
      </c>
      <c r="K21" s="86"/>
      <c r="L21" s="86"/>
      <c r="M21" s="86"/>
      <c r="N21" s="86" t="s">
        <v>281</v>
      </c>
      <c r="O21" s="86" t="s">
        <v>275</v>
      </c>
    </row>
    <row r="22" spans="2:15" x14ac:dyDescent="0.3">
      <c r="B22">
        <v>21</v>
      </c>
      <c r="C22" s="87" t="s">
        <v>206</v>
      </c>
      <c r="D22" s="31" t="s">
        <v>323</v>
      </c>
      <c r="E22" s="88" t="s">
        <v>226</v>
      </c>
      <c r="F22" s="93" t="str">
        <f>IF(RIGHT(Table3[[#This Row],[Attribute Name]],1)=" ",LEFT(Table3[[#This Row],[Attribute Name]],(LEN(Table3[[#This Row],[Attribute Name]]))-1),Table3[[#This Row],[Attribute Name]])</f>
        <v>Customer Deadline</v>
      </c>
      <c r="G22" s="2" t="str">
        <f>SUBSTITUTE(SUBSTITUTE(SUBSTITUTE(SUBSTITUTE(LOWER(F22),"&amp;",""),"-",""),"  ","-")," ","-")</f>
        <v>customer-deadline</v>
      </c>
      <c r="H22" s="94" t="str">
        <f>IF(Table3[[#This Row],[Unique entity qualified name]]&lt;&gt;"",Table3[[#This Row],[Unique entity qualified name]]&amp;"--"&amp;Table3[[#This Row],[Data attribute qualified name]],"")</f>
        <v>order-management--customer-order--customer-deadline</v>
      </c>
      <c r="I22" s="96" t="s">
        <v>320</v>
      </c>
      <c r="J22" s="86" t="s">
        <v>3</v>
      </c>
      <c r="K22" s="86"/>
      <c r="L22" s="86"/>
      <c r="M22" s="86"/>
      <c r="N22" s="86" t="s">
        <v>273</v>
      </c>
      <c r="O22" s="86" t="s">
        <v>277</v>
      </c>
    </row>
  </sheetData>
  <dataConsolidate/>
  <phoneticPr fontId="3" type="noConversion"/>
  <conditionalFormatting sqref="H2 H6 H11:H19">
    <cfRule type="cellIs" dxfId="103" priority="8" operator="notEqual">
      <formula>""""""</formula>
    </cfRule>
  </conditionalFormatting>
  <conditionalFormatting sqref="H7:H8">
    <cfRule type="cellIs" dxfId="102" priority="7" operator="notEqual">
      <formula>""""""</formula>
    </cfRule>
  </conditionalFormatting>
  <conditionalFormatting sqref="H9:H10">
    <cfRule type="cellIs" dxfId="101" priority="6" operator="notEqual">
      <formula>""""""</formula>
    </cfRule>
  </conditionalFormatting>
  <conditionalFormatting sqref="H3:H5">
    <cfRule type="cellIs" dxfId="100" priority="2" operator="notEqual">
      <formula>""""""</formula>
    </cfRule>
  </conditionalFormatting>
  <dataValidations count="4">
    <dataValidation type="list" allowBlank="1" showInputMessage="1" showErrorMessage="1" sqref="L2:L22" xr:uid="{0746EC8E-9B35-4EE9-ABEA-786F1F95B162}">
      <formula1>"Low,Medium,High"</formula1>
    </dataValidation>
    <dataValidation type="list" allowBlank="1" showInputMessage="1" showErrorMessage="1" sqref="M2:M22" xr:uid="{9FB00899-7423-46A5-B9D9-927E6683B5F4}">
      <formula1>"Yes,No"</formula1>
    </dataValidation>
    <dataValidation type="list" allowBlank="1" showInputMessage="1" showErrorMessage="1" sqref="J1 J20:J1048576" xr:uid="{C736C051-2966-4C7F-95DB-0B8CE4B2015A}">
      <formula1>"Numeric, Text, Date"</formula1>
    </dataValidation>
    <dataValidation type="list" allowBlank="1" showInputMessage="1" showErrorMessage="1" sqref="J2:J19" xr:uid="{95221B85-A36F-4D1C-BC12-B548C5F21BCA}">
      <formula1>"Numeric, Text, Date, Array"</formula1>
    </dataValidation>
  </dataValidations>
  <hyperlinks>
    <hyperlink ref="O11" r:id="rId1" xr:uid="{59A2E113-648F-489D-8E3C-0F418041D633}"/>
  </hyperlinks>
  <pageMargins left="0.7" right="0.7" top="0.75" bottom="0.75" header="0.3" footer="0.3"/>
  <pageSetup orientation="portrait"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95B2BC88-4CE4-491C-9580-2E217BD08CD8}">
          <x14:formula1>
            <xm:f>'2. L2 Data Entities'!$F$3:$F$6</xm:f>
          </x14:formula1>
          <xm:sqref>C7:C22</xm:sqref>
        </x14:dataValidation>
        <x14:dataValidation type="list" allowBlank="1" showInputMessage="1" showErrorMessage="1" xr:uid="{BF8FCBC4-779F-4D4F-ADD9-A1028361BC40}">
          <x14:formula1>
            <xm:f>'2. L2 Data Entities'!$E:$E</xm:f>
          </x14:formula1>
          <xm:sqref>D1:D1048576</xm:sqref>
        </x14:dataValidation>
        <x14:dataValidation type="list" allowBlank="1" showInputMessage="1" showErrorMessage="1" xr:uid="{2E5AE6C5-E084-4AF1-AECB-52DB0A64CE07}">
          <x14:formula1>
            <xm:f>'2. L2 Data Entities'!$F$2:$F$6</xm:f>
          </x14:formula1>
          <xm:sqref>C3:C6</xm:sqref>
        </x14:dataValidation>
        <x14:dataValidation type="list" allowBlank="1" showInputMessage="1" showErrorMessage="1" xr:uid="{D53A5A5E-B18C-4086-8C7A-7C8D1A6D83ED}">
          <x14:formula1>
            <xm:f>'2. L2 Data Entities'!$F$1:$F$6</xm:f>
          </x14:formula1>
          <xm:sqref>C2</xm:sqref>
        </x14:dataValidation>
        <x14:dataValidation type="list" allowBlank="1" showInputMessage="1" showErrorMessage="1" xr:uid="{4376B835-9A12-485E-B34B-2D8907F210F2}">
          <x14:formula1>
            <xm:f>'9. Person Table'!$D$2:$D$6</xm:f>
          </x14:formula1>
          <xm:sqref>N12:O22 N11 N2:O10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8976D-C17D-43CA-BBF7-C7CA6FC8A2A4}">
  <sheetPr codeName="Sheet8"/>
  <dimension ref="A1:Q122"/>
  <sheetViews>
    <sheetView topLeftCell="I1" zoomScale="115" zoomScaleNormal="115" workbookViewId="0">
      <selection activeCell="N2" sqref="N2"/>
    </sheetView>
  </sheetViews>
  <sheetFormatPr defaultRowHeight="14.4" x14ac:dyDescent="0.3"/>
  <cols>
    <col min="2" max="2" width="17" style="31" customWidth="1"/>
    <col min="3" max="3" width="22.109375" style="31" customWidth="1"/>
    <col min="4" max="4" width="106.6640625" style="31" customWidth="1"/>
    <col min="5" max="5" width="27.5546875" style="31" customWidth="1"/>
    <col min="6" max="6" width="43.5546875" style="33" customWidth="1"/>
    <col min="7" max="7" width="19.109375" style="31" bestFit="1" customWidth="1"/>
    <col min="8" max="8" width="37.33203125" style="33" bestFit="1" customWidth="1"/>
    <col min="9" max="9" width="63" style="31" bestFit="1" customWidth="1"/>
    <col min="10" max="10" width="53.44140625" style="33" customWidth="1"/>
    <col min="11" max="11" width="76.109375" style="33" bestFit="1" customWidth="1"/>
    <col min="12" max="12" width="25.33203125" style="31" bestFit="1" customWidth="1"/>
    <col min="13" max="13" width="45.33203125" style="31" bestFit="1" customWidth="1"/>
    <col min="14" max="14" width="66.88671875" style="31" bestFit="1" customWidth="1"/>
    <col min="15" max="15" width="45.21875" style="32" customWidth="1"/>
    <col min="16" max="16" width="11.21875" style="31" customWidth="1"/>
    <col min="17" max="17" width="21.77734375" style="31" bestFit="1" customWidth="1"/>
  </cols>
  <sheetData>
    <row r="1" spans="2:17" x14ac:dyDescent="0.3">
      <c r="B1" t="s">
        <v>13</v>
      </c>
      <c r="C1" s="31" t="s">
        <v>48</v>
      </c>
      <c r="D1" t="s">
        <v>50</v>
      </c>
      <c r="E1" t="s">
        <v>66</v>
      </c>
      <c r="F1" s="31" t="s">
        <v>123</v>
      </c>
      <c r="G1" t="s">
        <v>68</v>
      </c>
      <c r="H1" s="31" t="s">
        <v>124</v>
      </c>
      <c r="I1" t="s">
        <v>70</v>
      </c>
      <c r="J1" s="31" t="s">
        <v>125</v>
      </c>
      <c r="K1" s="31" t="s">
        <v>126</v>
      </c>
      <c r="L1" t="s">
        <v>72</v>
      </c>
      <c r="M1" s="31" t="s">
        <v>127</v>
      </c>
      <c r="N1" s="31" t="s">
        <v>74</v>
      </c>
      <c r="O1" t="s">
        <v>21</v>
      </c>
      <c r="P1" t="s">
        <v>78</v>
      </c>
      <c r="Q1" t="s">
        <v>80</v>
      </c>
    </row>
    <row r="2" spans="2:17" x14ac:dyDescent="0.3">
      <c r="B2">
        <v>1</v>
      </c>
      <c r="C2" s="31" t="s">
        <v>208</v>
      </c>
      <c r="D2" t="s">
        <v>233</v>
      </c>
      <c r="E2" t="s">
        <v>175</v>
      </c>
      <c r="F2" s="33" t="str">
        <f t="shared" ref="F2:F4" si="0">SUBSTITUTE(SUBSTITUTE(SUBSTITUTE(SUBSTITUTE(LOWER(E2),"&amp;",""),"-",""),"  ","-")," ","-")</f>
        <v>nodered</v>
      </c>
      <c r="G2" t="s">
        <v>242</v>
      </c>
      <c r="H2" s="33" t="str">
        <f t="shared" ref="H2:H3" si="1">SUBSTITUTE(SUBSTITUTE(SUBSTITUTE(SUBSTITUTE(LOWER(G2),"&amp;",""),"-",""),"  ","-")," ","-")</f>
        <v>nodered-flows</v>
      </c>
      <c r="I2" t="s">
        <v>243</v>
      </c>
      <c r="J2" s="33" t="str">
        <f>SUBSTITUTE(SUBSTITUTE(SUBSTITUTE(SUBSTITUTE(LOWER(I2),"&amp;",""),"-",""),"  ","-")," ","-")</f>
        <v>produce-metrics</v>
      </c>
      <c r="K2" s="33" t="str">
        <f>Table4[[#This Row],[Intermediate Qualified System Name]]&amp;"--"&amp;Table4[[#This Row],[Collection Intermediate Qualified Name]]&amp;"--"&amp;Table4[[#This Row],[Dataset Intermediate Qualified Name]]</f>
        <v>nodered--nodered-flows--produce-metrics</v>
      </c>
      <c r="L2" t="s">
        <v>208</v>
      </c>
      <c r="M2" s="33" t="str">
        <f t="shared" ref="M2" si="2">SUBSTITUTE(SUBSTITUTE(SUBSTITUTE(LOWER(L2),"&amp;",""),"  ","-")," ","-")</f>
        <v>product-counter</v>
      </c>
      <c r="N2" s="33" t="str">
        <f>Table4[[#This Row],[Intermediate Qualified System Name]]&amp;"--"&amp;Table4[[#This Row],[Collection Intermediate Qualified Name]]&amp;"--"&amp;Table4[[#This Row],[Dataset Intermediate Qualified Name]]&amp;"--"&amp;Table4[[#This Row],[Field Intermediate Qualified Name]]</f>
        <v>nodered--nodered-flows--produce-metrics--product-counter</v>
      </c>
      <c r="O2"/>
      <c r="P2" t="s">
        <v>184</v>
      </c>
      <c r="Q2"/>
    </row>
    <row r="3" spans="2:17" x14ac:dyDescent="0.3">
      <c r="B3">
        <v>2</v>
      </c>
      <c r="C3" s="31" t="s">
        <v>227</v>
      </c>
      <c r="D3" t="s">
        <v>234</v>
      </c>
      <c r="E3" t="s">
        <v>175</v>
      </c>
      <c r="F3" s="33" t="str">
        <f>SUBSTITUTE(SUBSTITUTE(SUBSTITUTE(SUBSTITUTE(LOWER(E3),"&amp;",""),"-",""),"  ","-")," ","-")</f>
        <v>nodered</v>
      </c>
      <c r="G3" t="s">
        <v>242</v>
      </c>
      <c r="H3" s="33" t="str">
        <f t="shared" si="1"/>
        <v>nodered-flows</v>
      </c>
      <c r="I3" t="s">
        <v>243</v>
      </c>
      <c r="J3" s="33" t="str">
        <f t="shared" ref="J3:J23" si="3">SUBSTITUTE(SUBSTITUTE(SUBSTITUTE(SUBSTITUTE(LOWER(I3),"&amp;",""),"-",""),"  ","-")," ","-")</f>
        <v>produce-metrics</v>
      </c>
      <c r="K3" s="33" t="str">
        <f>Table4[[#This Row],[Intermediate Qualified System Name]]&amp;"--"&amp;Table4[[#This Row],[Collection Intermediate Qualified Name]]&amp;"--"&amp;Table4[[#This Row],[Dataset Intermediate Qualified Name]]</f>
        <v>nodered--nodered-flows--produce-metrics</v>
      </c>
      <c r="L3" t="s">
        <v>227</v>
      </c>
      <c r="M3" s="33" t="str">
        <f t="shared" ref="M3:M23" si="4">SUBSTITUTE(SUBSTITUTE(SUBSTITUTE(LOWER(L3),"&amp;",""),"  ","-")," ","-")</f>
        <v>scrap-counter</v>
      </c>
      <c r="N3" s="33" t="str">
        <f>Table4[[#This Row],[Intermediate Qualified System Name]]&amp;"--"&amp;Table4[[#This Row],[Collection Intermediate Qualified Name]]&amp;"--"&amp;Table4[[#This Row],[Dataset Intermediate Qualified Name]]&amp;"--"&amp;Table4[[#This Row],[Field Intermediate Qualified Name]]</f>
        <v>nodered--nodered-flows--produce-metrics--scrap-counter</v>
      </c>
      <c r="O3"/>
      <c r="P3" s="31" t="s">
        <v>184</v>
      </c>
      <c r="Q3"/>
    </row>
    <row r="4" spans="2:17" x14ac:dyDescent="0.3">
      <c r="B4">
        <v>3</v>
      </c>
      <c r="C4" s="31" t="s">
        <v>177</v>
      </c>
      <c r="D4" t="s">
        <v>235</v>
      </c>
      <c r="E4" t="s">
        <v>175</v>
      </c>
      <c r="F4" s="33" t="str">
        <f t="shared" si="0"/>
        <v>nodered</v>
      </c>
      <c r="G4" t="s">
        <v>242</v>
      </c>
      <c r="H4" s="33" t="str">
        <f t="shared" ref="H4:H45" si="5">SUBSTITUTE(SUBSTITUTE(SUBSTITUTE(SUBSTITUTE(LOWER(G4),"&amp;",""),"-",""),"  ","-")," ","-")</f>
        <v>nodered-flows</v>
      </c>
      <c r="I4" t="s">
        <v>243</v>
      </c>
      <c r="J4" s="33" t="str">
        <f t="shared" si="3"/>
        <v>produce-metrics</v>
      </c>
      <c r="K4" s="33" t="str">
        <f>Table4[[#This Row],[Intermediate Qualified System Name]]&amp;"--"&amp;Table4[[#This Row],[Collection Intermediate Qualified Name]]&amp;"--"&amp;Table4[[#This Row],[Dataset Intermediate Qualified Name]]</f>
        <v>nodered--nodered-flows--produce-metrics</v>
      </c>
      <c r="L4" t="s">
        <v>177</v>
      </c>
      <c r="M4" s="33" t="str">
        <f t="shared" si="4"/>
        <v>state</v>
      </c>
      <c r="N4" s="33" t="str">
        <f>Table4[[#This Row],[Intermediate Qualified System Name]]&amp;"--"&amp;Table4[[#This Row],[Collection Intermediate Qualified Name]]&amp;"--"&amp;Table4[[#This Row],[Dataset Intermediate Qualified Name]]&amp;"--"&amp;Table4[[#This Row],[Field Intermediate Qualified Name]]</f>
        <v>nodered--nodered-flows--produce-metrics--state</v>
      </c>
      <c r="O4"/>
      <c r="P4" t="s">
        <v>183</v>
      </c>
      <c r="Q4"/>
    </row>
    <row r="5" spans="2:17" x14ac:dyDescent="0.3">
      <c r="B5">
        <v>4</v>
      </c>
      <c r="C5" s="31" t="s">
        <v>213</v>
      </c>
      <c r="D5" t="s">
        <v>236</v>
      </c>
      <c r="E5" t="s">
        <v>175</v>
      </c>
      <c r="F5" s="33" t="str">
        <f t="shared" ref="F5:F45" si="6">SUBSTITUTE(SUBSTITUTE(SUBSTITUTE(SUBSTITUTE(LOWER(E5),"&amp;",""),"-",""),"  ","-")," ","-")</f>
        <v>nodered</v>
      </c>
      <c r="G5" t="s">
        <v>242</v>
      </c>
      <c r="H5" s="33" t="str">
        <f t="shared" si="5"/>
        <v>nodered-flows</v>
      </c>
      <c r="I5" t="s">
        <v>243</v>
      </c>
      <c r="J5" s="33" t="str">
        <f t="shared" si="3"/>
        <v>produce-metrics</v>
      </c>
      <c r="K5" s="33" t="str">
        <f>Table4[[#This Row],[Intermediate Qualified System Name]]&amp;"--"&amp;Table4[[#This Row],[Collection Intermediate Qualified Name]]&amp;"--"&amp;Table4[[#This Row],[Dataset Intermediate Qualified Name]]</f>
        <v>nodered--nodered-flows--produce-metrics</v>
      </c>
      <c r="L5" t="s">
        <v>213</v>
      </c>
      <c r="M5" s="33" t="str">
        <f t="shared" si="4"/>
        <v>air-pressure</v>
      </c>
      <c r="N5" s="33" t="str">
        <f>Table4[[#This Row],[Intermediate Qualified System Name]]&amp;"--"&amp;Table4[[#This Row],[Collection Intermediate Qualified Name]]&amp;"--"&amp;Table4[[#This Row],[Dataset Intermediate Qualified Name]]&amp;"--"&amp;Table4[[#This Row],[Field Intermediate Qualified Name]]</f>
        <v>nodered--nodered-flows--produce-metrics--air-pressure</v>
      </c>
      <c r="O5"/>
      <c r="P5" t="s">
        <v>268</v>
      </c>
      <c r="Q5"/>
    </row>
    <row r="6" spans="2:17" x14ac:dyDescent="0.3">
      <c r="B6">
        <v>5</v>
      </c>
      <c r="C6" s="31" t="s">
        <v>214</v>
      </c>
      <c r="D6" t="s">
        <v>237</v>
      </c>
      <c r="E6" t="s">
        <v>175</v>
      </c>
      <c r="F6" s="33" t="str">
        <f t="shared" si="6"/>
        <v>nodered</v>
      </c>
      <c r="G6" t="s">
        <v>242</v>
      </c>
      <c r="H6" s="33" t="str">
        <f t="shared" si="5"/>
        <v>nodered-flows</v>
      </c>
      <c r="I6" t="s">
        <v>243</v>
      </c>
      <c r="J6" s="33" t="str">
        <f t="shared" si="3"/>
        <v>produce-metrics</v>
      </c>
      <c r="K6" s="33" t="str">
        <f>Table4[[#This Row],[Intermediate Qualified System Name]]&amp;"--"&amp;Table4[[#This Row],[Collection Intermediate Qualified Name]]&amp;"--"&amp;Table4[[#This Row],[Dataset Intermediate Qualified Name]]</f>
        <v>nodered--nodered-flows--produce-metrics</v>
      </c>
      <c r="L6" t="s">
        <v>214</v>
      </c>
      <c r="M6" s="33" t="str">
        <f t="shared" si="4"/>
        <v>motor-temperature</v>
      </c>
      <c r="N6" s="33" t="str">
        <f>Table4[[#This Row],[Intermediate Qualified System Name]]&amp;"--"&amp;Table4[[#This Row],[Collection Intermediate Qualified Name]]&amp;"--"&amp;Table4[[#This Row],[Dataset Intermediate Qualified Name]]&amp;"--"&amp;Table4[[#This Row],[Field Intermediate Qualified Name]]</f>
        <v>nodered--nodered-flows--produce-metrics--motor-temperature</v>
      </c>
      <c r="O6"/>
      <c r="P6" t="s">
        <v>268</v>
      </c>
      <c r="Q6"/>
    </row>
    <row r="7" spans="2:17" x14ac:dyDescent="0.3">
      <c r="B7">
        <v>6</v>
      </c>
      <c r="C7" s="31" t="s">
        <v>215</v>
      </c>
      <c r="D7" t="s">
        <v>238</v>
      </c>
      <c r="E7" t="s">
        <v>175</v>
      </c>
      <c r="F7" s="33" t="str">
        <f t="shared" si="6"/>
        <v>nodered</v>
      </c>
      <c r="G7" t="s">
        <v>242</v>
      </c>
      <c r="H7" s="33" t="str">
        <f t="shared" si="5"/>
        <v>nodered-flows</v>
      </c>
      <c r="I7" t="s">
        <v>243</v>
      </c>
      <c r="J7" s="33" t="str">
        <f t="shared" si="3"/>
        <v>produce-metrics</v>
      </c>
      <c r="K7" s="33" t="str">
        <f>Table4[[#This Row],[Intermediate Qualified System Name]]&amp;"--"&amp;Table4[[#This Row],[Collection Intermediate Qualified Name]]&amp;"--"&amp;Table4[[#This Row],[Dataset Intermediate Qualified Name]]</f>
        <v>nodered--nodered-flows--produce-metrics</v>
      </c>
      <c r="L7" t="s">
        <v>215</v>
      </c>
      <c r="M7" s="33" t="str">
        <f t="shared" si="4"/>
        <v>total-power</v>
      </c>
      <c r="N7" s="33" t="str">
        <f>Table4[[#This Row],[Intermediate Qualified System Name]]&amp;"--"&amp;Table4[[#This Row],[Collection Intermediate Qualified Name]]&amp;"--"&amp;Table4[[#This Row],[Dataset Intermediate Qualified Name]]&amp;"--"&amp;Table4[[#This Row],[Field Intermediate Qualified Name]]</f>
        <v>nodered--nodered-flows--produce-metrics--total-power</v>
      </c>
      <c r="O7"/>
      <c r="P7" t="s">
        <v>268</v>
      </c>
      <c r="Q7"/>
    </row>
    <row r="8" spans="2:17" x14ac:dyDescent="0.3">
      <c r="B8">
        <v>7</v>
      </c>
      <c r="C8" s="31" t="s">
        <v>222</v>
      </c>
      <c r="D8" t="s">
        <v>239</v>
      </c>
      <c r="E8" t="s">
        <v>175</v>
      </c>
      <c r="F8" s="33" t="str">
        <f t="shared" si="6"/>
        <v>nodered</v>
      </c>
      <c r="G8" t="s">
        <v>242</v>
      </c>
      <c r="H8" s="33" t="str">
        <f t="shared" si="5"/>
        <v>nodered-flows</v>
      </c>
      <c r="I8" t="s">
        <v>243</v>
      </c>
      <c r="J8" s="33" t="str">
        <f t="shared" si="3"/>
        <v>produce-metrics</v>
      </c>
      <c r="K8" s="33" t="str">
        <f>Table4[[#This Row],[Intermediate Qualified System Name]]&amp;"--"&amp;Table4[[#This Row],[Collection Intermediate Qualified Name]]&amp;"--"&amp;Table4[[#This Row],[Dataset Intermediate Qualified Name]]</f>
        <v>nodered--nodered-flows--produce-metrics</v>
      </c>
      <c r="L8" t="s">
        <v>222</v>
      </c>
      <c r="M8" s="33" t="str">
        <f t="shared" si="4"/>
        <v>current-order</v>
      </c>
      <c r="N8" s="33" t="str">
        <f>Table4[[#This Row],[Intermediate Qualified System Name]]&amp;"--"&amp;Table4[[#This Row],[Collection Intermediate Qualified Name]]&amp;"--"&amp;Table4[[#This Row],[Dataset Intermediate Qualified Name]]&amp;"--"&amp;Table4[[#This Row],[Field Intermediate Qualified Name]]</f>
        <v>nodered--nodered-flows--produce-metrics--current-order</v>
      </c>
      <c r="O8"/>
      <c r="P8" t="s">
        <v>183</v>
      </c>
      <c r="Q8"/>
    </row>
    <row r="9" spans="2:17" x14ac:dyDescent="0.3">
      <c r="B9">
        <v>8</v>
      </c>
      <c r="C9" s="31" t="s">
        <v>221</v>
      </c>
      <c r="D9" t="s">
        <v>240</v>
      </c>
      <c r="E9" t="s">
        <v>175</v>
      </c>
      <c r="F9" s="33" t="str">
        <f t="shared" si="6"/>
        <v>nodered</v>
      </c>
      <c r="G9" t="s">
        <v>242</v>
      </c>
      <c r="H9" s="33" t="str">
        <f t="shared" si="5"/>
        <v>nodered-flows</v>
      </c>
      <c r="I9" t="s">
        <v>243</v>
      </c>
      <c r="J9" s="33" t="str">
        <f t="shared" si="3"/>
        <v>produce-metrics</v>
      </c>
      <c r="K9" s="33" t="str">
        <f>Table4[[#This Row],[Intermediate Qualified System Name]]&amp;"--"&amp;Table4[[#This Row],[Collection Intermediate Qualified Name]]&amp;"--"&amp;Table4[[#This Row],[Dataset Intermediate Qualified Name]]</f>
        <v>nodered--nodered-flows--produce-metrics</v>
      </c>
      <c r="L9" t="s">
        <v>221</v>
      </c>
      <c r="M9" s="33" t="str">
        <f t="shared" si="4"/>
        <v>next-order-number</v>
      </c>
      <c r="N9" s="33" t="str">
        <f>Table4[[#This Row],[Intermediate Qualified System Name]]&amp;"--"&amp;Table4[[#This Row],[Collection Intermediate Qualified Name]]&amp;"--"&amp;Table4[[#This Row],[Dataset Intermediate Qualified Name]]&amp;"--"&amp;Table4[[#This Row],[Field Intermediate Qualified Name]]</f>
        <v>nodered--nodered-flows--produce-metrics--next-order-number</v>
      </c>
      <c r="O9"/>
      <c r="P9" t="s">
        <v>183</v>
      </c>
      <c r="Q9"/>
    </row>
    <row r="10" spans="2:17" x14ac:dyDescent="0.3">
      <c r="B10">
        <v>9</v>
      </c>
      <c r="C10" s="31" t="s">
        <v>208</v>
      </c>
      <c r="D10" t="s">
        <v>233</v>
      </c>
      <c r="E10" t="s">
        <v>173</v>
      </c>
      <c r="F10" s="33" t="str">
        <f t="shared" si="6"/>
        <v>kafka-broker</v>
      </c>
      <c r="G10" t="s">
        <v>196</v>
      </c>
      <c r="H10" s="33" t="str">
        <f t="shared" si="5"/>
        <v>default-cluster</v>
      </c>
      <c r="I10" t="s">
        <v>244</v>
      </c>
      <c r="J10" s="33" t="str">
        <f t="shared" si="3"/>
        <v>iotexpometrics</v>
      </c>
      <c r="K10" s="33" t="str">
        <f>Table4[[#This Row],[Intermediate Qualified System Name]]&amp;"--"&amp;Table4[[#This Row],[Collection Intermediate Qualified Name]]&amp;"--"&amp;Table4[[#This Row],[Dataset Intermediate Qualified Name]]</f>
        <v>kafka-broker--default-cluster--iotexpometrics</v>
      </c>
      <c r="L10" t="s">
        <v>208</v>
      </c>
      <c r="M10" s="33" t="str">
        <f t="shared" si="4"/>
        <v>product-counter</v>
      </c>
      <c r="N10" s="33" t="str">
        <f>Table4[[#This Row],[Intermediate Qualified System Name]]&amp;"--"&amp;Table4[[#This Row],[Collection Intermediate Qualified Name]]&amp;"--"&amp;Table4[[#This Row],[Dataset Intermediate Qualified Name]]&amp;"--"&amp;Table4[[#This Row],[Field Intermediate Qualified Name]]</f>
        <v>kafka-broker--default-cluster--iotexpometrics--product-counter</v>
      </c>
      <c r="O10"/>
      <c r="P10" t="s">
        <v>184</v>
      </c>
      <c r="Q10"/>
    </row>
    <row r="11" spans="2:17" x14ac:dyDescent="0.3">
      <c r="B11">
        <v>10</v>
      </c>
      <c r="C11" s="31" t="s">
        <v>227</v>
      </c>
      <c r="D11" t="s">
        <v>234</v>
      </c>
      <c r="E11" t="s">
        <v>173</v>
      </c>
      <c r="F11" s="33" t="str">
        <f t="shared" si="6"/>
        <v>kafka-broker</v>
      </c>
      <c r="G11" t="s">
        <v>196</v>
      </c>
      <c r="H11" s="33" t="str">
        <f t="shared" si="5"/>
        <v>default-cluster</v>
      </c>
      <c r="I11" t="s">
        <v>244</v>
      </c>
      <c r="J11" s="33" t="str">
        <f t="shared" si="3"/>
        <v>iotexpometrics</v>
      </c>
      <c r="K11" s="33" t="str">
        <f>Table4[[#This Row],[Intermediate Qualified System Name]]&amp;"--"&amp;Table4[[#This Row],[Collection Intermediate Qualified Name]]&amp;"--"&amp;Table4[[#This Row],[Dataset Intermediate Qualified Name]]</f>
        <v>kafka-broker--default-cluster--iotexpometrics</v>
      </c>
      <c r="L11" t="s">
        <v>227</v>
      </c>
      <c r="M11" s="33" t="str">
        <f t="shared" si="4"/>
        <v>scrap-counter</v>
      </c>
      <c r="N11" s="33" t="str">
        <f>Table4[[#This Row],[Intermediate Qualified System Name]]&amp;"--"&amp;Table4[[#This Row],[Collection Intermediate Qualified Name]]&amp;"--"&amp;Table4[[#This Row],[Dataset Intermediate Qualified Name]]&amp;"--"&amp;Table4[[#This Row],[Field Intermediate Qualified Name]]</f>
        <v>kafka-broker--default-cluster--iotexpometrics--scrap-counter</v>
      </c>
      <c r="O11"/>
      <c r="P11" t="s">
        <v>3</v>
      </c>
      <c r="Q11"/>
    </row>
    <row r="12" spans="2:17" x14ac:dyDescent="0.3">
      <c r="B12">
        <v>11</v>
      </c>
      <c r="C12" s="31" t="s">
        <v>177</v>
      </c>
      <c r="D12" t="s">
        <v>235</v>
      </c>
      <c r="E12" t="s">
        <v>173</v>
      </c>
      <c r="F12" s="33" t="str">
        <f t="shared" si="6"/>
        <v>kafka-broker</v>
      </c>
      <c r="G12" t="s">
        <v>196</v>
      </c>
      <c r="H12" s="33" t="str">
        <f t="shared" si="5"/>
        <v>default-cluster</v>
      </c>
      <c r="I12" t="s">
        <v>244</v>
      </c>
      <c r="J12" s="33" t="str">
        <f t="shared" si="3"/>
        <v>iotexpometrics</v>
      </c>
      <c r="K12" s="33" t="str">
        <f>Table4[[#This Row],[Intermediate Qualified System Name]]&amp;"--"&amp;Table4[[#This Row],[Collection Intermediate Qualified Name]]&amp;"--"&amp;Table4[[#This Row],[Dataset Intermediate Qualified Name]]</f>
        <v>kafka-broker--default-cluster--iotexpometrics</v>
      </c>
      <c r="L12" t="s">
        <v>177</v>
      </c>
      <c r="M12" s="33" t="str">
        <f t="shared" si="4"/>
        <v>state</v>
      </c>
      <c r="N12" s="33" t="str">
        <f>Table4[[#This Row],[Intermediate Qualified System Name]]&amp;"--"&amp;Table4[[#This Row],[Collection Intermediate Qualified Name]]&amp;"--"&amp;Table4[[#This Row],[Dataset Intermediate Qualified Name]]&amp;"--"&amp;Table4[[#This Row],[Field Intermediate Qualified Name]]</f>
        <v>kafka-broker--default-cluster--iotexpometrics--state</v>
      </c>
      <c r="O12"/>
      <c r="P12" t="s">
        <v>184</v>
      </c>
      <c r="Q12"/>
    </row>
    <row r="13" spans="2:17" x14ac:dyDescent="0.3">
      <c r="B13">
        <v>12</v>
      </c>
      <c r="C13" s="31" t="s">
        <v>213</v>
      </c>
      <c r="D13" t="s">
        <v>236</v>
      </c>
      <c r="E13" t="s">
        <v>173</v>
      </c>
      <c r="F13" s="33" t="str">
        <f t="shared" si="6"/>
        <v>kafka-broker</v>
      </c>
      <c r="G13" t="s">
        <v>196</v>
      </c>
      <c r="H13" s="33" t="str">
        <f t="shared" si="5"/>
        <v>default-cluster</v>
      </c>
      <c r="I13" t="s">
        <v>244</v>
      </c>
      <c r="J13" s="33" t="str">
        <f t="shared" si="3"/>
        <v>iotexpometrics</v>
      </c>
      <c r="K13" s="33" t="str">
        <f>Table4[[#This Row],[Intermediate Qualified System Name]]&amp;"--"&amp;Table4[[#This Row],[Collection Intermediate Qualified Name]]&amp;"--"&amp;Table4[[#This Row],[Dataset Intermediate Qualified Name]]</f>
        <v>kafka-broker--default-cluster--iotexpometrics</v>
      </c>
      <c r="L13" t="s">
        <v>213</v>
      </c>
      <c r="M13" s="33" t="str">
        <f t="shared" si="4"/>
        <v>air-pressure</v>
      </c>
      <c r="N13" s="33" t="str">
        <f>Table4[[#This Row],[Intermediate Qualified System Name]]&amp;"--"&amp;Table4[[#This Row],[Collection Intermediate Qualified Name]]&amp;"--"&amp;Table4[[#This Row],[Dataset Intermediate Qualified Name]]&amp;"--"&amp;Table4[[#This Row],[Field Intermediate Qualified Name]]</f>
        <v>kafka-broker--default-cluster--iotexpometrics--air-pressure</v>
      </c>
      <c r="O13"/>
      <c r="P13" t="s">
        <v>184</v>
      </c>
      <c r="Q13"/>
    </row>
    <row r="14" spans="2:17" x14ac:dyDescent="0.3">
      <c r="B14">
        <v>13</v>
      </c>
      <c r="C14" s="31" t="s">
        <v>214</v>
      </c>
      <c r="D14" t="s">
        <v>237</v>
      </c>
      <c r="E14" t="s">
        <v>173</v>
      </c>
      <c r="F14" s="33" t="str">
        <f t="shared" si="6"/>
        <v>kafka-broker</v>
      </c>
      <c r="G14" t="s">
        <v>196</v>
      </c>
      <c r="H14" s="33" t="str">
        <f t="shared" si="5"/>
        <v>default-cluster</v>
      </c>
      <c r="I14" t="s">
        <v>244</v>
      </c>
      <c r="J14" s="33" t="str">
        <f t="shared" ref="J14:J20" si="7">SUBSTITUTE(SUBSTITUTE(SUBSTITUTE(SUBSTITUTE(LOWER(I14),"&amp;",""),"-",""),"  ","-")," ","-")</f>
        <v>iotexpometrics</v>
      </c>
      <c r="K14" s="33" t="str">
        <f>Table4[[#This Row],[Intermediate Qualified System Name]]&amp;"--"&amp;Table4[[#This Row],[Collection Intermediate Qualified Name]]&amp;"--"&amp;Table4[[#This Row],[Dataset Intermediate Qualified Name]]</f>
        <v>kafka-broker--default-cluster--iotexpometrics</v>
      </c>
      <c r="L14" t="s">
        <v>214</v>
      </c>
      <c r="M14" s="33" t="str">
        <f t="shared" si="4"/>
        <v>motor-temperature</v>
      </c>
      <c r="N14" s="33" t="str">
        <f>Table4[[#This Row],[Intermediate Qualified System Name]]&amp;"--"&amp;Table4[[#This Row],[Collection Intermediate Qualified Name]]&amp;"--"&amp;Table4[[#This Row],[Dataset Intermediate Qualified Name]]&amp;"--"&amp;Table4[[#This Row],[Field Intermediate Qualified Name]]</f>
        <v>kafka-broker--default-cluster--iotexpometrics--motor-temperature</v>
      </c>
      <c r="O14"/>
      <c r="P14" t="s">
        <v>183</v>
      </c>
      <c r="Q14"/>
    </row>
    <row r="15" spans="2:17" x14ac:dyDescent="0.3">
      <c r="B15">
        <v>14</v>
      </c>
      <c r="C15" s="31" t="s">
        <v>215</v>
      </c>
      <c r="D15" t="s">
        <v>238</v>
      </c>
      <c r="E15" t="s">
        <v>173</v>
      </c>
      <c r="F15" s="33" t="str">
        <f t="shared" si="6"/>
        <v>kafka-broker</v>
      </c>
      <c r="G15" t="s">
        <v>196</v>
      </c>
      <c r="H15" s="33" t="str">
        <f t="shared" si="5"/>
        <v>default-cluster</v>
      </c>
      <c r="I15" t="s">
        <v>244</v>
      </c>
      <c r="J15" s="33" t="str">
        <f t="shared" si="7"/>
        <v>iotexpometrics</v>
      </c>
      <c r="K15" s="33" t="str">
        <f>Table4[[#This Row],[Intermediate Qualified System Name]]&amp;"--"&amp;Table4[[#This Row],[Collection Intermediate Qualified Name]]&amp;"--"&amp;Table4[[#This Row],[Dataset Intermediate Qualified Name]]</f>
        <v>kafka-broker--default-cluster--iotexpometrics</v>
      </c>
      <c r="L15" t="s">
        <v>215</v>
      </c>
      <c r="M15" s="33" t="str">
        <f t="shared" si="4"/>
        <v>total-power</v>
      </c>
      <c r="N15" s="33" t="str">
        <f>Table4[[#This Row],[Intermediate Qualified System Name]]&amp;"--"&amp;Table4[[#This Row],[Collection Intermediate Qualified Name]]&amp;"--"&amp;Table4[[#This Row],[Dataset Intermediate Qualified Name]]&amp;"--"&amp;Table4[[#This Row],[Field Intermediate Qualified Name]]</f>
        <v>kafka-broker--default-cluster--iotexpometrics--total-power</v>
      </c>
      <c r="O15"/>
      <c r="P15" t="s">
        <v>183</v>
      </c>
      <c r="Q15"/>
    </row>
    <row r="16" spans="2:17" x14ac:dyDescent="0.3">
      <c r="B16">
        <v>15</v>
      </c>
      <c r="C16" s="31" t="s">
        <v>222</v>
      </c>
      <c r="D16" t="s">
        <v>239</v>
      </c>
      <c r="E16" t="s">
        <v>173</v>
      </c>
      <c r="F16" s="33" t="str">
        <f t="shared" si="6"/>
        <v>kafka-broker</v>
      </c>
      <c r="G16" t="s">
        <v>196</v>
      </c>
      <c r="H16" s="33" t="str">
        <f t="shared" si="5"/>
        <v>default-cluster</v>
      </c>
      <c r="I16" t="s">
        <v>244</v>
      </c>
      <c r="J16" s="33" t="str">
        <f t="shared" si="7"/>
        <v>iotexpometrics</v>
      </c>
      <c r="K16" s="33" t="str">
        <f>Table4[[#This Row],[Intermediate Qualified System Name]]&amp;"--"&amp;Table4[[#This Row],[Collection Intermediate Qualified Name]]&amp;"--"&amp;Table4[[#This Row],[Dataset Intermediate Qualified Name]]</f>
        <v>kafka-broker--default-cluster--iotexpometrics</v>
      </c>
      <c r="L16" t="s">
        <v>222</v>
      </c>
      <c r="M16" s="33" t="str">
        <f t="shared" si="4"/>
        <v>current-order</v>
      </c>
      <c r="N16" s="33" t="str">
        <f>Table4[[#This Row],[Intermediate Qualified System Name]]&amp;"--"&amp;Table4[[#This Row],[Collection Intermediate Qualified Name]]&amp;"--"&amp;Table4[[#This Row],[Dataset Intermediate Qualified Name]]&amp;"--"&amp;Table4[[#This Row],[Field Intermediate Qualified Name]]</f>
        <v>kafka-broker--default-cluster--iotexpometrics--current-order</v>
      </c>
      <c r="O16"/>
      <c r="P16" t="s">
        <v>183</v>
      </c>
      <c r="Q16"/>
    </row>
    <row r="17" spans="2:16" customFormat="1" x14ac:dyDescent="0.3">
      <c r="B17">
        <v>16</v>
      </c>
      <c r="C17" s="31" t="s">
        <v>221</v>
      </c>
      <c r="D17" t="s">
        <v>240</v>
      </c>
      <c r="E17" t="s">
        <v>173</v>
      </c>
      <c r="F17" s="33" t="str">
        <f t="shared" si="6"/>
        <v>kafka-broker</v>
      </c>
      <c r="G17" t="s">
        <v>196</v>
      </c>
      <c r="H17" s="33" t="str">
        <f t="shared" si="5"/>
        <v>default-cluster</v>
      </c>
      <c r="I17" t="s">
        <v>244</v>
      </c>
      <c r="J17" s="33" t="str">
        <f t="shared" si="7"/>
        <v>iotexpometrics</v>
      </c>
      <c r="K17" s="33" t="str">
        <f>Table4[[#This Row],[Intermediate Qualified System Name]]&amp;"--"&amp;Table4[[#This Row],[Collection Intermediate Qualified Name]]&amp;"--"&amp;Table4[[#This Row],[Dataset Intermediate Qualified Name]]</f>
        <v>kafka-broker--default-cluster--iotexpometrics</v>
      </c>
      <c r="L17" t="s">
        <v>221</v>
      </c>
      <c r="M17" s="33" t="str">
        <f t="shared" si="4"/>
        <v>next-order-number</v>
      </c>
      <c r="N17" s="33" t="str">
        <f>Table4[[#This Row],[Intermediate Qualified System Name]]&amp;"--"&amp;Table4[[#This Row],[Collection Intermediate Qualified Name]]&amp;"--"&amp;Table4[[#This Row],[Dataset Intermediate Qualified Name]]&amp;"--"&amp;Table4[[#This Row],[Field Intermediate Qualified Name]]</f>
        <v>kafka-broker--default-cluster--iotexpometrics--next-order-number</v>
      </c>
      <c r="P17" t="s">
        <v>183</v>
      </c>
    </row>
    <row r="18" spans="2:16" customFormat="1" x14ac:dyDescent="0.3">
      <c r="B18">
        <v>17</v>
      </c>
      <c r="C18" s="31" t="s">
        <v>208</v>
      </c>
      <c r="D18" t="s">
        <v>233</v>
      </c>
      <c r="E18" t="s">
        <v>174</v>
      </c>
      <c r="F18" s="33" t="str">
        <f t="shared" si="6"/>
        <v>ksql-server</v>
      </c>
      <c r="G18" t="s">
        <v>247</v>
      </c>
      <c r="H18" s="33" t="str">
        <f t="shared" si="5"/>
        <v>ksql-processed-data</v>
      </c>
      <c r="I18" t="s">
        <v>245</v>
      </c>
      <c r="J18" s="33" t="str">
        <f t="shared" si="7"/>
        <v>iotexpometricsavro</v>
      </c>
      <c r="K18" s="33" t="str">
        <f>Table4[[#This Row],[Intermediate Qualified System Name]]&amp;"--"&amp;Table4[[#This Row],[Collection Intermediate Qualified Name]]&amp;"--"&amp;Table4[[#This Row],[Dataset Intermediate Qualified Name]]</f>
        <v>ksql-server--ksql-processed-data--iotexpometricsavro</v>
      </c>
      <c r="L18" t="s">
        <v>208</v>
      </c>
      <c r="M18" s="33" t="str">
        <f t="shared" ref="M18:M19" si="8">SUBSTITUTE(SUBSTITUTE(SUBSTITUTE(LOWER(L18),"&amp;",""),"  ","-")," ","-")</f>
        <v>product-counter</v>
      </c>
      <c r="N18" s="33" t="str">
        <f>Table4[[#This Row],[Intermediate Qualified System Name]]&amp;"--"&amp;Table4[[#This Row],[Collection Intermediate Qualified Name]]&amp;"--"&amp;Table4[[#This Row],[Dataset Intermediate Qualified Name]]&amp;"--"&amp;Table4[[#This Row],[Field Intermediate Qualified Name]]</f>
        <v>ksql-server--ksql-processed-data--iotexpometricsavro--product-counter</v>
      </c>
      <c r="P18" t="s">
        <v>184</v>
      </c>
    </row>
    <row r="19" spans="2:16" customFormat="1" x14ac:dyDescent="0.3">
      <c r="B19">
        <v>18</v>
      </c>
      <c r="C19" s="31" t="s">
        <v>227</v>
      </c>
      <c r="D19" t="s">
        <v>234</v>
      </c>
      <c r="E19" t="s">
        <v>174</v>
      </c>
      <c r="F19" s="33" t="str">
        <f t="shared" si="6"/>
        <v>ksql-server</v>
      </c>
      <c r="G19" t="s">
        <v>247</v>
      </c>
      <c r="H19" s="33" t="str">
        <f t="shared" si="5"/>
        <v>ksql-processed-data</v>
      </c>
      <c r="I19" t="s">
        <v>245</v>
      </c>
      <c r="J19" s="33" t="str">
        <f t="shared" si="7"/>
        <v>iotexpometricsavro</v>
      </c>
      <c r="K19" s="33" t="str">
        <f>Table4[[#This Row],[Intermediate Qualified System Name]]&amp;"--"&amp;Table4[[#This Row],[Collection Intermediate Qualified Name]]&amp;"--"&amp;Table4[[#This Row],[Dataset Intermediate Qualified Name]]</f>
        <v>ksql-server--ksql-processed-data--iotexpometricsavro</v>
      </c>
      <c r="L19" t="s">
        <v>227</v>
      </c>
      <c r="M19" s="33" t="str">
        <f t="shared" si="8"/>
        <v>scrap-counter</v>
      </c>
      <c r="N19" s="33" t="str">
        <f>Table4[[#This Row],[Intermediate Qualified System Name]]&amp;"--"&amp;Table4[[#This Row],[Collection Intermediate Qualified Name]]&amp;"--"&amp;Table4[[#This Row],[Dataset Intermediate Qualified Name]]&amp;"--"&amp;Table4[[#This Row],[Field Intermediate Qualified Name]]</f>
        <v>ksql-server--ksql-processed-data--iotexpometricsavro--scrap-counter</v>
      </c>
      <c r="P19" s="31" t="s">
        <v>184</v>
      </c>
    </row>
    <row r="20" spans="2:16" customFormat="1" x14ac:dyDescent="0.3">
      <c r="B20">
        <v>19</v>
      </c>
      <c r="C20" s="31" t="s">
        <v>177</v>
      </c>
      <c r="D20" t="s">
        <v>235</v>
      </c>
      <c r="E20" t="s">
        <v>174</v>
      </c>
      <c r="F20" s="33" t="str">
        <f t="shared" si="6"/>
        <v>ksql-server</v>
      </c>
      <c r="G20" t="s">
        <v>247</v>
      </c>
      <c r="H20" s="33" t="str">
        <f t="shared" si="5"/>
        <v>ksql-processed-data</v>
      </c>
      <c r="I20" t="s">
        <v>245</v>
      </c>
      <c r="J20" s="33" t="str">
        <f t="shared" si="7"/>
        <v>iotexpometricsavro</v>
      </c>
      <c r="K20" s="33" t="str">
        <f>Table4[[#This Row],[Intermediate Qualified System Name]]&amp;"--"&amp;Table4[[#This Row],[Collection Intermediate Qualified Name]]&amp;"--"&amp;Table4[[#This Row],[Dataset Intermediate Qualified Name]]</f>
        <v>ksql-server--ksql-processed-data--iotexpometricsavro</v>
      </c>
      <c r="L20" t="s">
        <v>177</v>
      </c>
      <c r="M20" s="33" t="str">
        <f t="shared" si="4"/>
        <v>state</v>
      </c>
      <c r="N20" s="33" t="str">
        <f>Table4[[#This Row],[Intermediate Qualified System Name]]&amp;"--"&amp;Table4[[#This Row],[Collection Intermediate Qualified Name]]&amp;"--"&amp;Table4[[#This Row],[Dataset Intermediate Qualified Name]]&amp;"--"&amp;Table4[[#This Row],[Field Intermediate Qualified Name]]</f>
        <v>ksql-server--ksql-processed-data--iotexpometricsavro--state</v>
      </c>
      <c r="P20" t="s">
        <v>183</v>
      </c>
    </row>
    <row r="21" spans="2:16" customFormat="1" x14ac:dyDescent="0.3">
      <c r="B21">
        <v>20</v>
      </c>
      <c r="C21" s="31" t="s">
        <v>213</v>
      </c>
      <c r="D21" t="s">
        <v>236</v>
      </c>
      <c r="E21" t="s">
        <v>174</v>
      </c>
      <c r="F21" s="33" t="str">
        <f t="shared" si="6"/>
        <v>ksql-server</v>
      </c>
      <c r="G21" t="s">
        <v>247</v>
      </c>
      <c r="H21" s="33" t="str">
        <f t="shared" si="5"/>
        <v>ksql-processed-data</v>
      </c>
      <c r="I21" t="s">
        <v>245</v>
      </c>
      <c r="J21" s="33" t="str">
        <f t="shared" si="3"/>
        <v>iotexpometricsavro</v>
      </c>
      <c r="K21" s="33" t="str">
        <f>Table4[[#This Row],[Intermediate Qualified System Name]]&amp;"--"&amp;Table4[[#This Row],[Collection Intermediate Qualified Name]]&amp;"--"&amp;Table4[[#This Row],[Dataset Intermediate Qualified Name]]</f>
        <v>ksql-server--ksql-processed-data--iotexpometricsavro</v>
      </c>
      <c r="L21" t="s">
        <v>213</v>
      </c>
      <c r="M21" s="33" t="str">
        <f t="shared" si="4"/>
        <v>air-pressure</v>
      </c>
      <c r="N21" s="33" t="str">
        <f>Table4[[#This Row],[Intermediate Qualified System Name]]&amp;"--"&amp;Table4[[#This Row],[Collection Intermediate Qualified Name]]&amp;"--"&amp;Table4[[#This Row],[Dataset Intermediate Qualified Name]]&amp;"--"&amp;Table4[[#This Row],[Field Intermediate Qualified Name]]</f>
        <v>ksql-server--ksql-processed-data--iotexpometricsavro--air-pressure</v>
      </c>
      <c r="P21" t="s">
        <v>268</v>
      </c>
    </row>
    <row r="22" spans="2:16" customFormat="1" x14ac:dyDescent="0.3">
      <c r="B22">
        <v>21</v>
      </c>
      <c r="C22" s="31" t="s">
        <v>214</v>
      </c>
      <c r="D22" t="s">
        <v>237</v>
      </c>
      <c r="E22" t="s">
        <v>174</v>
      </c>
      <c r="F22" s="33" t="str">
        <f t="shared" si="6"/>
        <v>ksql-server</v>
      </c>
      <c r="G22" t="s">
        <v>247</v>
      </c>
      <c r="H22" s="33" t="str">
        <f t="shared" si="5"/>
        <v>ksql-processed-data</v>
      </c>
      <c r="I22" t="s">
        <v>245</v>
      </c>
      <c r="J22" s="33" t="str">
        <f t="shared" si="3"/>
        <v>iotexpometricsavro</v>
      </c>
      <c r="K22" s="33" t="s">
        <v>330</v>
      </c>
      <c r="L22" t="s">
        <v>214</v>
      </c>
      <c r="M22" s="33" t="str">
        <f t="shared" si="4"/>
        <v>motor-temperature</v>
      </c>
      <c r="N22" s="33" t="str">
        <f>Table4[[#This Row],[Intermediate Qualified System Name]]&amp;"--"&amp;Table4[[#This Row],[Collection Intermediate Qualified Name]]&amp;"--"&amp;Table4[[#This Row],[Dataset Intermediate Qualified Name]]&amp;"--"&amp;Table4[[#This Row],[Field Intermediate Qualified Name]]</f>
        <v>ksql-server--ksql-processed-data--iotexpometricsavro--motor-temperature</v>
      </c>
      <c r="P22" t="s">
        <v>268</v>
      </c>
    </row>
    <row r="23" spans="2:16" customFormat="1" x14ac:dyDescent="0.3">
      <c r="B23">
        <v>22</v>
      </c>
      <c r="C23" s="31" t="s">
        <v>215</v>
      </c>
      <c r="D23" t="s">
        <v>238</v>
      </c>
      <c r="E23" t="s">
        <v>174</v>
      </c>
      <c r="F23" s="33" t="str">
        <f t="shared" si="6"/>
        <v>ksql-server</v>
      </c>
      <c r="G23" t="s">
        <v>247</v>
      </c>
      <c r="H23" s="33" t="str">
        <f t="shared" si="5"/>
        <v>ksql-processed-data</v>
      </c>
      <c r="I23" t="s">
        <v>245</v>
      </c>
      <c r="J23" s="33" t="str">
        <f t="shared" si="3"/>
        <v>iotexpometricsavro</v>
      </c>
      <c r="K23" s="33" t="str">
        <f>Table4[[#This Row],[Intermediate Qualified System Name]]&amp;"--"&amp;Table4[[#This Row],[Collection Intermediate Qualified Name]]&amp;"--"&amp;Table4[[#This Row],[Dataset Intermediate Qualified Name]]</f>
        <v>ksql-server--ksql-processed-data--iotexpometricsavro</v>
      </c>
      <c r="L23" t="s">
        <v>215</v>
      </c>
      <c r="M23" s="33" t="str">
        <f t="shared" si="4"/>
        <v>total-power</v>
      </c>
      <c r="N23" s="33" t="str">
        <f>Table4[[#This Row],[Intermediate Qualified System Name]]&amp;"--"&amp;Table4[[#This Row],[Collection Intermediate Qualified Name]]&amp;"--"&amp;Table4[[#This Row],[Dataset Intermediate Qualified Name]]&amp;"--"&amp;Table4[[#This Row],[Field Intermediate Qualified Name]]</f>
        <v>ksql-server--ksql-processed-data--iotexpometricsavro--total-power</v>
      </c>
      <c r="P23" t="s">
        <v>268</v>
      </c>
    </row>
    <row r="24" spans="2:16" customFormat="1" x14ac:dyDescent="0.3">
      <c r="B24">
        <v>23</v>
      </c>
      <c r="C24" s="31" t="s">
        <v>222</v>
      </c>
      <c r="D24" t="s">
        <v>239</v>
      </c>
      <c r="E24" t="s">
        <v>174</v>
      </c>
      <c r="F24" s="33" t="str">
        <f t="shared" si="6"/>
        <v>ksql-server</v>
      </c>
      <c r="G24" t="s">
        <v>247</v>
      </c>
      <c r="H24" s="33" t="str">
        <f t="shared" si="5"/>
        <v>ksql-processed-data</v>
      </c>
      <c r="I24" t="s">
        <v>245</v>
      </c>
      <c r="J24" s="33" t="str">
        <f t="shared" ref="J24:J35" si="9">SUBSTITUTE(SUBSTITUTE(SUBSTITUTE(SUBSTITUTE(LOWER(I24),"&amp;",""),"-",""),"  ","-")," ","-")</f>
        <v>iotexpometricsavro</v>
      </c>
      <c r="K24" s="33" t="str">
        <f>Table4[[#This Row],[Intermediate Qualified System Name]]&amp;"--"&amp;Table4[[#This Row],[Collection Intermediate Qualified Name]]&amp;"--"&amp;Table4[[#This Row],[Dataset Intermediate Qualified Name]]</f>
        <v>ksql-server--ksql-processed-data--iotexpometricsavro</v>
      </c>
      <c r="L24" t="s">
        <v>222</v>
      </c>
      <c r="M24" s="33" t="str">
        <f t="shared" ref="M24:M35" si="10">SUBSTITUTE(SUBSTITUTE(SUBSTITUTE(LOWER(L24),"&amp;",""),"  ","-")," ","-")</f>
        <v>current-order</v>
      </c>
      <c r="N24" s="33" t="str">
        <f>Table4[[#This Row],[Intermediate Qualified System Name]]&amp;"--"&amp;Table4[[#This Row],[Collection Intermediate Qualified Name]]&amp;"--"&amp;Table4[[#This Row],[Dataset Intermediate Qualified Name]]&amp;"--"&amp;Table4[[#This Row],[Field Intermediate Qualified Name]]</f>
        <v>ksql-server--ksql-processed-data--iotexpometricsavro--current-order</v>
      </c>
      <c r="P24" t="s">
        <v>183</v>
      </c>
    </row>
    <row r="25" spans="2:16" customFormat="1" x14ac:dyDescent="0.3">
      <c r="B25">
        <v>24</v>
      </c>
      <c r="C25" s="31" t="s">
        <v>221</v>
      </c>
      <c r="D25" t="s">
        <v>240</v>
      </c>
      <c r="E25" t="s">
        <v>174</v>
      </c>
      <c r="F25" s="33" t="str">
        <f t="shared" si="6"/>
        <v>ksql-server</v>
      </c>
      <c r="G25" t="s">
        <v>247</v>
      </c>
      <c r="H25" s="33" t="str">
        <f t="shared" si="5"/>
        <v>ksql-processed-data</v>
      </c>
      <c r="I25" t="s">
        <v>245</v>
      </c>
      <c r="J25" s="33" t="str">
        <f t="shared" si="9"/>
        <v>iotexpometricsavro</v>
      </c>
      <c r="K25" s="33" t="str">
        <f>Table4[[#This Row],[Intermediate Qualified System Name]]&amp;"--"&amp;Table4[[#This Row],[Collection Intermediate Qualified Name]]&amp;"--"&amp;Table4[[#This Row],[Dataset Intermediate Qualified Name]]</f>
        <v>ksql-server--ksql-processed-data--iotexpometricsavro</v>
      </c>
      <c r="L25" t="s">
        <v>221</v>
      </c>
      <c r="M25" s="33" t="str">
        <f t="shared" si="10"/>
        <v>next-order-number</v>
      </c>
      <c r="N25" s="33" t="str">
        <f>Table4[[#This Row],[Intermediate Qualified System Name]]&amp;"--"&amp;Table4[[#This Row],[Collection Intermediate Qualified Name]]&amp;"--"&amp;Table4[[#This Row],[Dataset Intermediate Qualified Name]]&amp;"--"&amp;Table4[[#This Row],[Field Intermediate Qualified Name]]</f>
        <v>ksql-server--ksql-processed-data--iotexpometricsavro--next-order-number</v>
      </c>
      <c r="P25" t="s">
        <v>183</v>
      </c>
    </row>
    <row r="26" spans="2:16" customFormat="1" x14ac:dyDescent="0.3">
      <c r="B26">
        <v>25</v>
      </c>
      <c r="C26" s="31" t="s">
        <v>208</v>
      </c>
      <c r="D26" t="s">
        <v>233</v>
      </c>
      <c r="E26" t="s">
        <v>246</v>
      </c>
      <c r="F26" s="33" t="str">
        <f t="shared" si="6"/>
        <v>telegraf</v>
      </c>
      <c r="G26" t="s">
        <v>252</v>
      </c>
      <c r="H26" s="33" t="str">
        <f t="shared" si="5"/>
        <v>telegraf-metrics</v>
      </c>
      <c r="I26" t="s">
        <v>248</v>
      </c>
      <c r="J26" s="33" t="str">
        <f t="shared" si="9"/>
        <v>iotmetricsbucket</v>
      </c>
      <c r="K26" s="33" t="str">
        <f>Table4[[#This Row],[Intermediate Qualified System Name]]&amp;"--"&amp;Table4[[#This Row],[Collection Intermediate Qualified Name]]&amp;"--"&amp;Table4[[#This Row],[Dataset Intermediate Qualified Name]]</f>
        <v>telegraf--telegraf-metrics--iotmetricsbucket</v>
      </c>
      <c r="L26" t="s">
        <v>208</v>
      </c>
      <c r="M26" s="33" t="str">
        <f t="shared" si="10"/>
        <v>product-counter</v>
      </c>
      <c r="N26" s="33" t="str">
        <f>Table4[[#This Row],[Intermediate Qualified System Name]]&amp;"--"&amp;Table4[[#This Row],[Collection Intermediate Qualified Name]]&amp;"--"&amp;Table4[[#This Row],[Dataset Intermediate Qualified Name]]&amp;"--"&amp;Table4[[#This Row],[Field Intermediate Qualified Name]]</f>
        <v>telegraf--telegraf-metrics--iotmetricsbucket--product-counter</v>
      </c>
      <c r="P26" t="s">
        <v>184</v>
      </c>
    </row>
    <row r="27" spans="2:16" customFormat="1" x14ac:dyDescent="0.3">
      <c r="B27">
        <v>26</v>
      </c>
      <c r="C27" s="31" t="s">
        <v>227</v>
      </c>
      <c r="D27" t="s">
        <v>234</v>
      </c>
      <c r="E27" t="s">
        <v>246</v>
      </c>
      <c r="F27" s="33" t="str">
        <f t="shared" si="6"/>
        <v>telegraf</v>
      </c>
      <c r="G27" t="s">
        <v>252</v>
      </c>
      <c r="H27" s="33" t="str">
        <f t="shared" si="5"/>
        <v>telegraf-metrics</v>
      </c>
      <c r="I27" t="s">
        <v>248</v>
      </c>
      <c r="J27" s="33" t="str">
        <f t="shared" si="9"/>
        <v>iotmetricsbucket</v>
      </c>
      <c r="K27" s="33" t="str">
        <f>Table4[[#This Row],[Intermediate Qualified System Name]]&amp;"--"&amp;Table4[[#This Row],[Collection Intermediate Qualified Name]]&amp;"--"&amp;Table4[[#This Row],[Dataset Intermediate Qualified Name]]</f>
        <v>telegraf--telegraf-metrics--iotmetricsbucket</v>
      </c>
      <c r="L27" t="s">
        <v>227</v>
      </c>
      <c r="M27" s="33" t="str">
        <f t="shared" si="10"/>
        <v>scrap-counter</v>
      </c>
      <c r="N27" s="33" t="str">
        <f>Table4[[#This Row],[Intermediate Qualified System Name]]&amp;"--"&amp;Table4[[#This Row],[Collection Intermediate Qualified Name]]&amp;"--"&amp;Table4[[#This Row],[Dataset Intermediate Qualified Name]]&amp;"--"&amp;Table4[[#This Row],[Field Intermediate Qualified Name]]</f>
        <v>telegraf--telegraf-metrics--iotmetricsbucket--scrap-counter</v>
      </c>
      <c r="P27" s="31" t="s">
        <v>184</v>
      </c>
    </row>
    <row r="28" spans="2:16" customFormat="1" x14ac:dyDescent="0.3">
      <c r="B28">
        <v>27</v>
      </c>
      <c r="C28" s="31" t="s">
        <v>177</v>
      </c>
      <c r="D28" t="s">
        <v>235</v>
      </c>
      <c r="E28" t="s">
        <v>246</v>
      </c>
      <c r="F28" s="33" t="str">
        <f t="shared" si="6"/>
        <v>telegraf</v>
      </c>
      <c r="G28" t="s">
        <v>252</v>
      </c>
      <c r="H28" s="33" t="str">
        <f t="shared" si="5"/>
        <v>telegraf-metrics</v>
      </c>
      <c r="I28" t="s">
        <v>248</v>
      </c>
      <c r="J28" s="33" t="str">
        <f t="shared" si="9"/>
        <v>iotmetricsbucket</v>
      </c>
      <c r="K28" s="33" t="str">
        <f>Table4[[#This Row],[Intermediate Qualified System Name]]&amp;"--"&amp;Table4[[#This Row],[Collection Intermediate Qualified Name]]&amp;"--"&amp;Table4[[#This Row],[Dataset Intermediate Qualified Name]]</f>
        <v>telegraf--telegraf-metrics--iotmetricsbucket</v>
      </c>
      <c r="L28" t="s">
        <v>177</v>
      </c>
      <c r="M28" s="33" t="str">
        <f>SUBSTITUTE(SUBSTITUTE(SUBSTITUTE(LOWER(L28),"&amp;",""),"  ","-")," ","-")</f>
        <v>state</v>
      </c>
      <c r="N28" s="33" t="str">
        <f>Table4[[#This Row],[Intermediate Qualified System Name]]&amp;"--"&amp;Table4[[#This Row],[Collection Intermediate Qualified Name]]&amp;"--"&amp;Table4[[#This Row],[Dataset Intermediate Qualified Name]]&amp;"--"&amp;Table4[[#This Row],[Field Intermediate Qualified Name]]</f>
        <v>telegraf--telegraf-metrics--iotmetricsbucket--state</v>
      </c>
      <c r="P28" t="s">
        <v>183</v>
      </c>
    </row>
    <row r="29" spans="2:16" customFormat="1" x14ac:dyDescent="0.3">
      <c r="B29">
        <v>28</v>
      </c>
      <c r="C29" s="31" t="s">
        <v>213</v>
      </c>
      <c r="D29" t="s">
        <v>236</v>
      </c>
      <c r="E29" t="s">
        <v>246</v>
      </c>
      <c r="F29" s="33" t="str">
        <f t="shared" si="6"/>
        <v>telegraf</v>
      </c>
      <c r="G29" t="s">
        <v>252</v>
      </c>
      <c r="H29" s="33" t="str">
        <f t="shared" si="5"/>
        <v>telegraf-metrics</v>
      </c>
      <c r="I29" t="s">
        <v>248</v>
      </c>
      <c r="J29" s="33" t="str">
        <f t="shared" si="9"/>
        <v>iotmetricsbucket</v>
      </c>
      <c r="K29" s="33" t="str">
        <f>Table4[[#This Row],[Intermediate Qualified System Name]]&amp;"--"&amp;Table4[[#This Row],[Collection Intermediate Qualified Name]]&amp;"--"&amp;Table4[[#This Row],[Dataset Intermediate Qualified Name]]</f>
        <v>telegraf--telegraf-metrics--iotmetricsbucket</v>
      </c>
      <c r="L29" t="s">
        <v>213</v>
      </c>
      <c r="M29" s="33" t="str">
        <f>SUBSTITUTE(SUBSTITUTE(SUBSTITUTE(LOWER(L29),"&amp;",""),"  ","-")," ","-")</f>
        <v>air-pressure</v>
      </c>
      <c r="N29" s="33" t="str">
        <f>Table4[[#This Row],[Intermediate Qualified System Name]]&amp;"--"&amp;Table4[[#This Row],[Collection Intermediate Qualified Name]]&amp;"--"&amp;Table4[[#This Row],[Dataset Intermediate Qualified Name]]&amp;"--"&amp;Table4[[#This Row],[Field Intermediate Qualified Name]]</f>
        <v>telegraf--telegraf-metrics--iotmetricsbucket--air-pressure</v>
      </c>
      <c r="P29" t="s">
        <v>268</v>
      </c>
    </row>
    <row r="30" spans="2:16" customFormat="1" x14ac:dyDescent="0.3">
      <c r="B30">
        <v>29</v>
      </c>
      <c r="C30" s="31" t="s">
        <v>214</v>
      </c>
      <c r="D30" t="s">
        <v>237</v>
      </c>
      <c r="E30" t="s">
        <v>246</v>
      </c>
      <c r="F30" s="33" t="str">
        <f t="shared" si="6"/>
        <v>telegraf</v>
      </c>
      <c r="G30" t="s">
        <v>252</v>
      </c>
      <c r="H30" s="33" t="str">
        <f t="shared" si="5"/>
        <v>telegraf-metrics</v>
      </c>
      <c r="I30" t="s">
        <v>248</v>
      </c>
      <c r="J30" s="33" t="str">
        <f t="shared" si="9"/>
        <v>iotmetricsbucket</v>
      </c>
      <c r="K30" s="33" t="str">
        <f>Table4[[#This Row],[Intermediate Qualified System Name]]&amp;"--"&amp;Table4[[#This Row],[Collection Intermediate Qualified Name]]&amp;"--"&amp;Table4[[#This Row],[Dataset Intermediate Qualified Name]]</f>
        <v>telegraf--telegraf-metrics--iotmetricsbucket</v>
      </c>
      <c r="L30" t="s">
        <v>214</v>
      </c>
      <c r="M30" s="33" t="str">
        <f>SUBSTITUTE(SUBSTITUTE(SUBSTITUTE(LOWER(L30),"&amp;",""),"  ","-")," ","-")</f>
        <v>motor-temperature</v>
      </c>
      <c r="N30" s="33" t="str">
        <f>Table4[[#This Row],[Intermediate Qualified System Name]]&amp;"--"&amp;Table4[[#This Row],[Collection Intermediate Qualified Name]]&amp;"--"&amp;Table4[[#This Row],[Dataset Intermediate Qualified Name]]&amp;"--"&amp;Table4[[#This Row],[Field Intermediate Qualified Name]]</f>
        <v>telegraf--telegraf-metrics--iotmetricsbucket--motor-temperature</v>
      </c>
      <c r="P30" t="s">
        <v>268</v>
      </c>
    </row>
    <row r="31" spans="2:16" customFormat="1" x14ac:dyDescent="0.3">
      <c r="B31">
        <v>30</v>
      </c>
      <c r="C31" s="31" t="s">
        <v>215</v>
      </c>
      <c r="D31" t="s">
        <v>238</v>
      </c>
      <c r="E31" t="s">
        <v>246</v>
      </c>
      <c r="F31" s="33" t="str">
        <f t="shared" si="6"/>
        <v>telegraf</v>
      </c>
      <c r="G31" t="s">
        <v>252</v>
      </c>
      <c r="H31" s="33" t="str">
        <f t="shared" si="5"/>
        <v>telegraf-metrics</v>
      </c>
      <c r="I31" t="s">
        <v>248</v>
      </c>
      <c r="J31" s="33" t="str">
        <f t="shared" si="9"/>
        <v>iotmetricsbucket</v>
      </c>
      <c r="K31" s="33" t="str">
        <f>Table4[[#This Row],[Intermediate Qualified System Name]]&amp;"--"&amp;Table4[[#This Row],[Collection Intermediate Qualified Name]]&amp;"--"&amp;Table4[[#This Row],[Dataset Intermediate Qualified Name]]</f>
        <v>telegraf--telegraf-metrics--iotmetricsbucket</v>
      </c>
      <c r="L31" t="s">
        <v>215</v>
      </c>
      <c r="M31" s="33" t="str">
        <f>SUBSTITUTE(SUBSTITUTE(SUBSTITUTE(LOWER(L31),"&amp;",""),"  ","-")," ","-")</f>
        <v>total-power</v>
      </c>
      <c r="N31" s="33" t="str">
        <f>Table4[[#This Row],[Intermediate Qualified System Name]]&amp;"--"&amp;Table4[[#This Row],[Collection Intermediate Qualified Name]]&amp;"--"&amp;Table4[[#This Row],[Dataset Intermediate Qualified Name]]&amp;"--"&amp;Table4[[#This Row],[Field Intermediate Qualified Name]]</f>
        <v>telegraf--telegraf-metrics--iotmetricsbucket--total-power</v>
      </c>
      <c r="P31" t="s">
        <v>268</v>
      </c>
    </row>
    <row r="32" spans="2:16" customFormat="1" x14ac:dyDescent="0.3">
      <c r="B32">
        <v>31</v>
      </c>
      <c r="C32" s="31" t="s">
        <v>222</v>
      </c>
      <c r="D32" t="s">
        <v>239</v>
      </c>
      <c r="E32" t="s">
        <v>246</v>
      </c>
      <c r="F32" s="33" t="str">
        <f t="shared" si="6"/>
        <v>telegraf</v>
      </c>
      <c r="G32" t="s">
        <v>252</v>
      </c>
      <c r="H32" s="33" t="str">
        <f t="shared" si="5"/>
        <v>telegraf-metrics</v>
      </c>
      <c r="I32" t="s">
        <v>248</v>
      </c>
      <c r="J32" s="33" t="str">
        <f t="shared" si="9"/>
        <v>iotmetricsbucket</v>
      </c>
      <c r="K32" s="33" t="str">
        <f>Table4[[#This Row],[Intermediate Qualified System Name]]&amp;"--"&amp;Table4[[#This Row],[Collection Intermediate Qualified Name]]&amp;"--"&amp;Table4[[#This Row],[Dataset Intermediate Qualified Name]]</f>
        <v>telegraf--telegraf-metrics--iotmetricsbucket</v>
      </c>
      <c r="L32" t="s">
        <v>222</v>
      </c>
      <c r="M32" s="33" t="str">
        <f>SUBSTITUTE(SUBSTITUTE(SUBSTITUTE(LOWER(L32),"&amp;",""),"  ","-")," ","-")</f>
        <v>current-order</v>
      </c>
      <c r="N32" s="33" t="str">
        <f>Table4[[#This Row],[Intermediate Qualified System Name]]&amp;"--"&amp;Table4[[#This Row],[Collection Intermediate Qualified Name]]&amp;"--"&amp;Table4[[#This Row],[Dataset Intermediate Qualified Name]]&amp;"--"&amp;Table4[[#This Row],[Field Intermediate Qualified Name]]</f>
        <v>telegraf--telegraf-metrics--iotmetricsbucket--current-order</v>
      </c>
      <c r="P32" t="s">
        <v>183</v>
      </c>
    </row>
    <row r="33" spans="2:17" x14ac:dyDescent="0.3">
      <c r="B33">
        <v>32</v>
      </c>
      <c r="C33" s="31" t="s">
        <v>221</v>
      </c>
      <c r="D33" t="s">
        <v>240</v>
      </c>
      <c r="E33" t="s">
        <v>246</v>
      </c>
      <c r="F33" s="33" t="str">
        <f t="shared" ref="F33:F44" si="11">SUBSTITUTE(SUBSTITUTE(SUBSTITUTE(SUBSTITUTE(LOWER(E33),"&amp;",""),"-",""),"  ","-")," ","-")</f>
        <v>telegraf</v>
      </c>
      <c r="G33" t="s">
        <v>252</v>
      </c>
      <c r="H33" s="33" t="str">
        <f t="shared" ref="H33:H44" si="12">SUBSTITUTE(SUBSTITUTE(SUBSTITUTE(SUBSTITUTE(LOWER(G33),"&amp;",""),"-",""),"  ","-")," ","-")</f>
        <v>telegraf-metrics</v>
      </c>
      <c r="I33" t="s">
        <v>248</v>
      </c>
      <c r="J33" s="33" t="str">
        <f t="shared" si="9"/>
        <v>iotmetricsbucket</v>
      </c>
      <c r="K33" s="33" t="str">
        <f>Table4[[#This Row],[Intermediate Qualified System Name]]&amp;"--"&amp;Table4[[#This Row],[Collection Intermediate Qualified Name]]&amp;"--"&amp;Table4[[#This Row],[Dataset Intermediate Qualified Name]]</f>
        <v>telegraf--telegraf-metrics--iotmetricsbucket</v>
      </c>
      <c r="L33" t="s">
        <v>221</v>
      </c>
      <c r="M33" s="33" t="str">
        <f t="shared" si="10"/>
        <v>next-order-number</v>
      </c>
      <c r="N33" s="33" t="str">
        <f>Table4[[#This Row],[Intermediate Qualified System Name]]&amp;"--"&amp;Table4[[#This Row],[Collection Intermediate Qualified Name]]&amp;"--"&amp;Table4[[#This Row],[Dataset Intermediate Qualified Name]]&amp;"--"&amp;Table4[[#This Row],[Field Intermediate Qualified Name]]</f>
        <v>telegraf--telegraf-metrics--iotmetricsbucket--next-order-number</v>
      </c>
      <c r="O33"/>
      <c r="P33" t="s">
        <v>183</v>
      </c>
      <c r="Q33"/>
    </row>
    <row r="34" spans="2:17" x14ac:dyDescent="0.3">
      <c r="B34">
        <v>33</v>
      </c>
      <c r="C34" s="31" t="s">
        <v>208</v>
      </c>
      <c r="D34" t="s">
        <v>233</v>
      </c>
      <c r="E34" t="s">
        <v>249</v>
      </c>
      <c r="F34" s="33" t="str">
        <f t="shared" si="11"/>
        <v>influxdb</v>
      </c>
      <c r="G34" t="s">
        <v>251</v>
      </c>
      <c r="H34" s="33" t="str">
        <f t="shared" si="12"/>
        <v>influx-measurements</v>
      </c>
      <c r="I34" t="s">
        <v>250</v>
      </c>
      <c r="J34" s="33" t="str">
        <f t="shared" si="9"/>
        <v>production</v>
      </c>
      <c r="K34" s="33" t="str">
        <f>Table4[[#This Row],[Intermediate Qualified System Name]]&amp;"--"&amp;Table4[[#This Row],[Collection Intermediate Qualified Name]]&amp;"--"&amp;Table4[[#This Row],[Dataset Intermediate Qualified Name]]</f>
        <v>influxdb--influx-measurements--production</v>
      </c>
      <c r="L34" t="s">
        <v>208</v>
      </c>
      <c r="M34" s="33" t="str">
        <f t="shared" si="10"/>
        <v>product-counter</v>
      </c>
      <c r="N34" s="33" t="str">
        <f>Table4[[#This Row],[Intermediate Qualified System Name]]&amp;"--"&amp;Table4[[#This Row],[Collection Intermediate Qualified Name]]&amp;"--"&amp;Table4[[#This Row],[Dataset Intermediate Qualified Name]]&amp;"--"&amp;Table4[[#This Row],[Field Intermediate Qualified Name]]</f>
        <v>influxdb--influx-measurements--production--product-counter</v>
      </c>
      <c r="O34"/>
      <c r="P34" t="s">
        <v>184</v>
      </c>
      <c r="Q34"/>
    </row>
    <row r="35" spans="2:17" x14ac:dyDescent="0.3">
      <c r="B35">
        <v>34</v>
      </c>
      <c r="C35" s="31" t="s">
        <v>227</v>
      </c>
      <c r="D35" t="s">
        <v>234</v>
      </c>
      <c r="E35" t="s">
        <v>249</v>
      </c>
      <c r="F35" s="33" t="str">
        <f t="shared" si="11"/>
        <v>influxdb</v>
      </c>
      <c r="G35" t="s">
        <v>251</v>
      </c>
      <c r="H35" s="33" t="str">
        <f t="shared" si="12"/>
        <v>influx-measurements</v>
      </c>
      <c r="I35" t="s">
        <v>250</v>
      </c>
      <c r="J35" s="33" t="str">
        <f t="shared" si="9"/>
        <v>production</v>
      </c>
      <c r="K35" s="33" t="str">
        <f>Table4[[#This Row],[Intermediate Qualified System Name]]&amp;"--"&amp;Table4[[#This Row],[Collection Intermediate Qualified Name]]&amp;"--"&amp;Table4[[#This Row],[Dataset Intermediate Qualified Name]]</f>
        <v>influxdb--influx-measurements--production</v>
      </c>
      <c r="L35" t="s">
        <v>227</v>
      </c>
      <c r="M35" s="33" t="str">
        <f t="shared" si="10"/>
        <v>scrap-counter</v>
      </c>
      <c r="N35" s="33" t="str">
        <f>Table4[[#This Row],[Intermediate Qualified System Name]]&amp;"--"&amp;Table4[[#This Row],[Collection Intermediate Qualified Name]]&amp;"--"&amp;Table4[[#This Row],[Dataset Intermediate Qualified Name]]&amp;"--"&amp;Table4[[#This Row],[Field Intermediate Qualified Name]]</f>
        <v>influxdb--influx-measurements--production--scrap-counter</v>
      </c>
      <c r="O35"/>
      <c r="P35" s="31" t="s">
        <v>184</v>
      </c>
      <c r="Q35"/>
    </row>
    <row r="36" spans="2:17" x14ac:dyDescent="0.3">
      <c r="B36">
        <v>35</v>
      </c>
      <c r="C36" s="31" t="s">
        <v>177</v>
      </c>
      <c r="D36" t="s">
        <v>235</v>
      </c>
      <c r="E36" t="s">
        <v>249</v>
      </c>
      <c r="F36" s="33" t="str">
        <f t="shared" si="11"/>
        <v>influxdb</v>
      </c>
      <c r="G36" t="s">
        <v>251</v>
      </c>
      <c r="H36" s="33" t="str">
        <f t="shared" si="12"/>
        <v>influx-measurements</v>
      </c>
      <c r="I36" t="s">
        <v>250</v>
      </c>
      <c r="J36" s="33" t="str">
        <f t="shared" ref="J36:J44" si="13">SUBSTITUTE(SUBSTITUTE(SUBSTITUTE(SUBSTITUTE(LOWER(I36),"&amp;",""),"-",""),"  ","-")," ","-")</f>
        <v>production</v>
      </c>
      <c r="K36" s="33" t="str">
        <f>Table4[[#This Row],[Intermediate Qualified System Name]]&amp;"--"&amp;Table4[[#This Row],[Collection Intermediate Qualified Name]]&amp;"--"&amp;Table4[[#This Row],[Dataset Intermediate Qualified Name]]</f>
        <v>influxdb--influx-measurements--production</v>
      </c>
      <c r="L36" t="s">
        <v>177</v>
      </c>
      <c r="M36" s="33" t="str">
        <f>SUBSTITUTE(SUBSTITUTE(SUBSTITUTE(LOWER(L36),"&amp;",""),"  ","-")," ","-")</f>
        <v>state</v>
      </c>
      <c r="N36" s="33" t="str">
        <f>Table4[[#This Row],[Intermediate Qualified System Name]]&amp;"--"&amp;Table4[[#This Row],[Collection Intermediate Qualified Name]]&amp;"--"&amp;Table4[[#This Row],[Dataset Intermediate Qualified Name]]&amp;"--"&amp;Table4[[#This Row],[Field Intermediate Qualified Name]]</f>
        <v>influxdb--influx-measurements--production--state</v>
      </c>
      <c r="O36"/>
      <c r="P36" t="s">
        <v>183</v>
      </c>
      <c r="Q36"/>
    </row>
    <row r="37" spans="2:17" x14ac:dyDescent="0.3">
      <c r="B37">
        <v>36</v>
      </c>
      <c r="C37" s="31" t="s">
        <v>213</v>
      </c>
      <c r="D37" t="s">
        <v>236</v>
      </c>
      <c r="E37" t="s">
        <v>249</v>
      </c>
      <c r="F37" s="33" t="str">
        <f t="shared" si="11"/>
        <v>influxdb</v>
      </c>
      <c r="G37" t="s">
        <v>251</v>
      </c>
      <c r="H37" s="33" t="str">
        <f t="shared" si="12"/>
        <v>influx-measurements</v>
      </c>
      <c r="I37" t="s">
        <v>250</v>
      </c>
      <c r="J37" s="33" t="str">
        <f t="shared" si="13"/>
        <v>production</v>
      </c>
      <c r="K37" s="33" t="str">
        <f>Table4[[#This Row],[Intermediate Qualified System Name]]&amp;"--"&amp;Table4[[#This Row],[Collection Intermediate Qualified Name]]&amp;"--"&amp;Table4[[#This Row],[Dataset Intermediate Qualified Name]]</f>
        <v>influxdb--influx-measurements--production</v>
      </c>
      <c r="L37" t="s">
        <v>213</v>
      </c>
      <c r="M37" s="33" t="str">
        <f>SUBSTITUTE(SUBSTITUTE(SUBSTITUTE(LOWER(L37),"&amp;",""),"  ","-")," ","-")</f>
        <v>air-pressure</v>
      </c>
      <c r="N37" s="33" t="str">
        <f>Table4[[#This Row],[Intermediate Qualified System Name]]&amp;"--"&amp;Table4[[#This Row],[Collection Intermediate Qualified Name]]&amp;"--"&amp;Table4[[#This Row],[Dataset Intermediate Qualified Name]]&amp;"--"&amp;Table4[[#This Row],[Field Intermediate Qualified Name]]</f>
        <v>influxdb--influx-measurements--production--air-pressure</v>
      </c>
      <c r="O37"/>
      <c r="P37" t="s">
        <v>268</v>
      </c>
      <c r="Q37"/>
    </row>
    <row r="38" spans="2:17" x14ac:dyDescent="0.3">
      <c r="B38">
        <v>37</v>
      </c>
      <c r="C38" s="31" t="s">
        <v>214</v>
      </c>
      <c r="D38" t="s">
        <v>237</v>
      </c>
      <c r="E38" t="s">
        <v>249</v>
      </c>
      <c r="F38" s="33" t="str">
        <f t="shared" si="11"/>
        <v>influxdb</v>
      </c>
      <c r="G38" t="s">
        <v>251</v>
      </c>
      <c r="H38" s="33" t="str">
        <f t="shared" si="12"/>
        <v>influx-measurements</v>
      </c>
      <c r="I38" t="s">
        <v>250</v>
      </c>
      <c r="J38" s="33" t="str">
        <f t="shared" si="13"/>
        <v>production</v>
      </c>
      <c r="K38" s="33" t="str">
        <f>Table4[[#This Row],[Intermediate Qualified System Name]]&amp;"--"&amp;Table4[[#This Row],[Collection Intermediate Qualified Name]]&amp;"--"&amp;Table4[[#This Row],[Dataset Intermediate Qualified Name]]</f>
        <v>influxdb--influx-measurements--production</v>
      </c>
      <c r="L38" t="s">
        <v>214</v>
      </c>
      <c r="M38" s="33" t="str">
        <f>SUBSTITUTE(SUBSTITUTE(SUBSTITUTE(LOWER(L38),"&amp;",""),"  ","-")," ","-")</f>
        <v>motor-temperature</v>
      </c>
      <c r="N38" s="33" t="str">
        <f>Table4[[#This Row],[Intermediate Qualified System Name]]&amp;"--"&amp;Table4[[#This Row],[Collection Intermediate Qualified Name]]&amp;"--"&amp;Table4[[#This Row],[Dataset Intermediate Qualified Name]]&amp;"--"&amp;Table4[[#This Row],[Field Intermediate Qualified Name]]</f>
        <v>influxdb--influx-measurements--production--motor-temperature</v>
      </c>
      <c r="O38"/>
      <c r="P38" t="s">
        <v>268</v>
      </c>
      <c r="Q38"/>
    </row>
    <row r="39" spans="2:17" x14ac:dyDescent="0.3">
      <c r="B39">
        <v>38</v>
      </c>
      <c r="C39" s="31" t="s">
        <v>215</v>
      </c>
      <c r="D39" t="s">
        <v>238</v>
      </c>
      <c r="E39" t="s">
        <v>249</v>
      </c>
      <c r="F39" s="33" t="str">
        <f t="shared" si="11"/>
        <v>influxdb</v>
      </c>
      <c r="G39" t="s">
        <v>251</v>
      </c>
      <c r="H39" s="33" t="str">
        <f t="shared" si="12"/>
        <v>influx-measurements</v>
      </c>
      <c r="I39" t="s">
        <v>250</v>
      </c>
      <c r="J39" s="33" t="str">
        <f t="shared" si="13"/>
        <v>production</v>
      </c>
      <c r="K39" s="33" t="str">
        <f>Table4[[#This Row],[Intermediate Qualified System Name]]&amp;"--"&amp;Table4[[#This Row],[Collection Intermediate Qualified Name]]&amp;"--"&amp;Table4[[#This Row],[Dataset Intermediate Qualified Name]]</f>
        <v>influxdb--influx-measurements--production</v>
      </c>
      <c r="L39" t="s">
        <v>215</v>
      </c>
      <c r="M39" s="33" t="str">
        <f>SUBSTITUTE(SUBSTITUTE(SUBSTITUTE(LOWER(L39),"&amp;",""),"  ","-")," ","-")</f>
        <v>total-power</v>
      </c>
      <c r="N39" s="33" t="str">
        <f>Table4[[#This Row],[Intermediate Qualified System Name]]&amp;"--"&amp;Table4[[#This Row],[Collection Intermediate Qualified Name]]&amp;"--"&amp;Table4[[#This Row],[Dataset Intermediate Qualified Name]]&amp;"--"&amp;Table4[[#This Row],[Field Intermediate Qualified Name]]</f>
        <v>influxdb--influx-measurements--production--total-power</v>
      </c>
      <c r="O39"/>
      <c r="P39" t="s">
        <v>268</v>
      </c>
      <c r="Q39"/>
    </row>
    <row r="40" spans="2:17" x14ac:dyDescent="0.3">
      <c r="B40">
        <v>39</v>
      </c>
      <c r="C40" s="31" t="s">
        <v>222</v>
      </c>
      <c r="D40" t="s">
        <v>239</v>
      </c>
      <c r="E40" t="s">
        <v>249</v>
      </c>
      <c r="F40" s="33" t="str">
        <f t="shared" si="11"/>
        <v>influxdb</v>
      </c>
      <c r="G40" t="s">
        <v>251</v>
      </c>
      <c r="H40" s="33" t="str">
        <f t="shared" si="12"/>
        <v>influx-measurements</v>
      </c>
      <c r="I40" t="s">
        <v>250</v>
      </c>
      <c r="J40" s="33" t="str">
        <f t="shared" si="13"/>
        <v>production</v>
      </c>
      <c r="K40" s="33" t="str">
        <f>Table4[[#This Row],[Intermediate Qualified System Name]]&amp;"--"&amp;Table4[[#This Row],[Collection Intermediate Qualified Name]]&amp;"--"&amp;Table4[[#This Row],[Dataset Intermediate Qualified Name]]</f>
        <v>influxdb--influx-measurements--production</v>
      </c>
      <c r="L40" t="s">
        <v>222</v>
      </c>
      <c r="M40" s="33" t="str">
        <f>SUBSTITUTE(SUBSTITUTE(SUBSTITUTE(LOWER(L40),"&amp;",""),"  ","-")," ","-")</f>
        <v>current-order</v>
      </c>
      <c r="N40" s="33" t="str">
        <f>Table4[[#This Row],[Intermediate Qualified System Name]]&amp;"--"&amp;Table4[[#This Row],[Collection Intermediate Qualified Name]]&amp;"--"&amp;Table4[[#This Row],[Dataset Intermediate Qualified Name]]&amp;"--"&amp;Table4[[#This Row],[Field Intermediate Qualified Name]]</f>
        <v>influxdb--influx-measurements--production--current-order</v>
      </c>
      <c r="O40"/>
      <c r="P40" t="s">
        <v>183</v>
      </c>
      <c r="Q40"/>
    </row>
    <row r="41" spans="2:17" x14ac:dyDescent="0.3">
      <c r="B41">
        <v>40</v>
      </c>
      <c r="C41" s="31" t="s">
        <v>221</v>
      </c>
      <c r="D41" t="s">
        <v>240</v>
      </c>
      <c r="E41" t="s">
        <v>249</v>
      </c>
      <c r="F41" s="33" t="str">
        <f t="shared" si="11"/>
        <v>influxdb</v>
      </c>
      <c r="G41" t="s">
        <v>251</v>
      </c>
      <c r="H41" s="33" t="str">
        <f t="shared" si="12"/>
        <v>influx-measurements</v>
      </c>
      <c r="I41" t="s">
        <v>250</v>
      </c>
      <c r="J41" s="33" t="str">
        <f t="shared" si="13"/>
        <v>production</v>
      </c>
      <c r="K41" s="33" t="str">
        <f>Table4[[#This Row],[Intermediate Qualified System Name]]&amp;"--"&amp;Table4[[#This Row],[Collection Intermediate Qualified Name]]&amp;"--"&amp;Table4[[#This Row],[Dataset Intermediate Qualified Name]]</f>
        <v>influxdb--influx-measurements--production</v>
      </c>
      <c r="L41" t="s">
        <v>221</v>
      </c>
      <c r="M41" s="33" t="str">
        <f t="shared" ref="M41:M45" si="14">SUBSTITUTE(SUBSTITUTE(SUBSTITUTE(LOWER(L41),"&amp;",""),"  ","-")," ","-")</f>
        <v>next-order-number</v>
      </c>
      <c r="N41" s="33" t="str">
        <f>Table4[[#This Row],[Intermediate Qualified System Name]]&amp;"--"&amp;Table4[[#This Row],[Collection Intermediate Qualified Name]]&amp;"--"&amp;Table4[[#This Row],[Dataset Intermediate Qualified Name]]&amp;"--"&amp;Table4[[#This Row],[Field Intermediate Qualified Name]]</f>
        <v>influxdb--influx-measurements--production--next-order-number</v>
      </c>
      <c r="O41"/>
      <c r="P41" t="s">
        <v>183</v>
      </c>
      <c r="Q41"/>
    </row>
    <row r="42" spans="2:17" x14ac:dyDescent="0.3">
      <c r="B42">
        <v>41</v>
      </c>
      <c r="C42" s="31" t="s">
        <v>209</v>
      </c>
      <c r="D42" t="s">
        <v>259</v>
      </c>
      <c r="E42" t="s">
        <v>257</v>
      </c>
      <c r="F42" s="33" t="str">
        <f t="shared" si="11"/>
        <v>grafana</v>
      </c>
      <c r="G42" t="s">
        <v>258</v>
      </c>
      <c r="H42" s="33" t="str">
        <f t="shared" si="12"/>
        <v>grafana-dashboards</v>
      </c>
      <c r="I42" t="s">
        <v>270</v>
      </c>
      <c r="J42" s="33" t="str">
        <f t="shared" si="13"/>
        <v>production-kpi</v>
      </c>
      <c r="K42" s="33" t="str">
        <f>Table4[[#This Row],[Intermediate Qualified System Name]]&amp;"--"&amp;Table4[[#This Row],[Collection Intermediate Qualified Name]]&amp;"--"&amp;Table4[[#This Row],[Dataset Intermediate Qualified Name]]</f>
        <v>grafana--grafana-dashboards--production-kpi</v>
      </c>
      <c r="L42" t="s">
        <v>209</v>
      </c>
      <c r="M42" s="33" t="str">
        <f t="shared" si="14"/>
        <v>yield</v>
      </c>
      <c r="N42" s="33" t="str">
        <f>Table4[[#This Row],[Intermediate Qualified System Name]]&amp;"--"&amp;Table4[[#This Row],[Collection Intermediate Qualified Name]]&amp;"--"&amp;Table4[[#This Row],[Dataset Intermediate Qualified Name]]&amp;"--"&amp;Table4[[#This Row],[Field Intermediate Qualified Name]]</f>
        <v>grafana--grafana-dashboards--production-kpi--yield</v>
      </c>
      <c r="O42"/>
      <c r="P42" t="s">
        <v>268</v>
      </c>
      <c r="Q42"/>
    </row>
    <row r="43" spans="2:17" x14ac:dyDescent="0.3">
      <c r="B43">
        <v>42</v>
      </c>
      <c r="C43" s="31" t="s">
        <v>211</v>
      </c>
      <c r="D43" t="s">
        <v>261</v>
      </c>
      <c r="E43" t="s">
        <v>257</v>
      </c>
      <c r="F43" s="33" t="str">
        <f t="shared" si="11"/>
        <v>grafana</v>
      </c>
      <c r="G43" t="s">
        <v>258</v>
      </c>
      <c r="H43" s="33" t="str">
        <f t="shared" si="12"/>
        <v>grafana-dashboards</v>
      </c>
      <c r="I43" t="s">
        <v>270</v>
      </c>
      <c r="J43" s="33" t="str">
        <f t="shared" si="13"/>
        <v>production-kpi</v>
      </c>
      <c r="K43" s="33" t="str">
        <f>Table4[[#This Row],[Intermediate Qualified System Name]]&amp;"--"&amp;Table4[[#This Row],[Collection Intermediate Qualified Name]]&amp;"--"&amp;Table4[[#This Row],[Dataset Intermediate Qualified Name]]</f>
        <v>grafana--grafana-dashboards--production-kpi</v>
      </c>
      <c r="L43" t="s">
        <v>211</v>
      </c>
      <c r="M43" s="33" t="str">
        <f t="shared" si="14"/>
        <v>inventory-level</v>
      </c>
      <c r="N43" s="33" t="str">
        <f>Table4[[#This Row],[Intermediate Qualified System Name]]&amp;"--"&amp;Table4[[#This Row],[Collection Intermediate Qualified Name]]&amp;"--"&amp;Table4[[#This Row],[Dataset Intermediate Qualified Name]]&amp;"--"&amp;Table4[[#This Row],[Field Intermediate Qualified Name]]</f>
        <v>grafana--grafana-dashboards--production-kpi--inventory-level</v>
      </c>
      <c r="O43"/>
      <c r="P43" t="s">
        <v>184</v>
      </c>
      <c r="Q43"/>
    </row>
    <row r="44" spans="2:17" x14ac:dyDescent="0.3">
      <c r="B44">
        <v>43</v>
      </c>
      <c r="C44" s="31" t="s">
        <v>217</v>
      </c>
      <c r="D44" t="s">
        <v>260</v>
      </c>
      <c r="E44" t="s">
        <v>257</v>
      </c>
      <c r="F44" s="33" t="str">
        <f t="shared" si="11"/>
        <v>grafana</v>
      </c>
      <c r="G44" t="s">
        <v>258</v>
      </c>
      <c r="H44" s="33" t="str">
        <f t="shared" si="12"/>
        <v>grafana-dashboards</v>
      </c>
      <c r="I44" t="s">
        <v>270</v>
      </c>
      <c r="J44" s="33" t="str">
        <f t="shared" si="13"/>
        <v>production-kpi</v>
      </c>
      <c r="K44" s="33" t="str">
        <f>Table4[[#This Row],[Intermediate Qualified System Name]]&amp;"--"&amp;Table4[[#This Row],[Collection Intermediate Qualified Name]]&amp;"--"&amp;Table4[[#This Row],[Dataset Intermediate Qualified Name]]</f>
        <v>grafana--grafana-dashboards--production-kpi</v>
      </c>
      <c r="L44" t="s">
        <v>217</v>
      </c>
      <c r="M44" s="33" t="str">
        <f t="shared" si="14"/>
        <v>order-fulfillment</v>
      </c>
      <c r="N44" s="33" t="str">
        <f>Table4[[#This Row],[Intermediate Qualified System Name]]&amp;"--"&amp;Table4[[#This Row],[Collection Intermediate Qualified Name]]&amp;"--"&amp;Table4[[#This Row],[Dataset Intermediate Qualified Name]]&amp;"--"&amp;Table4[[#This Row],[Field Intermediate Qualified Name]]</f>
        <v>grafana--grafana-dashboards--production-kpi--order-fulfillment</v>
      </c>
      <c r="O44"/>
      <c r="P44" t="s">
        <v>268</v>
      </c>
      <c r="Q44"/>
    </row>
    <row r="45" spans="2:17" x14ac:dyDescent="0.3">
      <c r="B45">
        <v>44</v>
      </c>
      <c r="C45" s="31" t="s">
        <v>216</v>
      </c>
      <c r="D45" t="s">
        <v>262</v>
      </c>
      <c r="E45" t="s">
        <v>257</v>
      </c>
      <c r="F45" s="33" t="str">
        <f t="shared" si="6"/>
        <v>grafana</v>
      </c>
      <c r="G45" t="s">
        <v>258</v>
      </c>
      <c r="H45" s="33" t="str">
        <f t="shared" si="5"/>
        <v>grafana-dashboards</v>
      </c>
      <c r="I45" t="s">
        <v>270</v>
      </c>
      <c r="J45" s="33" t="str">
        <f t="shared" ref="J45" si="15">SUBSTITUTE(SUBSTITUTE(SUBSTITUTE(SUBSTITUTE(LOWER(I45),"&amp;",""),"-",""),"  ","-")," ","-")</f>
        <v>production-kpi</v>
      </c>
      <c r="K45" s="33" t="str">
        <f>Table4[[#This Row],[Intermediate Qualified System Name]]&amp;"--"&amp;Table4[[#This Row],[Collection Intermediate Qualified Name]]&amp;"--"&amp;Table4[[#This Row],[Dataset Intermediate Qualified Name]]</f>
        <v>grafana--grafana-dashboards--production-kpi</v>
      </c>
      <c r="L45" t="s">
        <v>216</v>
      </c>
      <c r="M45" s="33" t="str">
        <f t="shared" si="14"/>
        <v>fulfilled-orders-today</v>
      </c>
      <c r="N45" s="33" t="str">
        <f>Table4[[#This Row],[Intermediate Qualified System Name]]&amp;"--"&amp;Table4[[#This Row],[Collection Intermediate Qualified Name]]&amp;"--"&amp;Table4[[#This Row],[Dataset Intermediate Qualified Name]]&amp;"--"&amp;Table4[[#This Row],[Field Intermediate Qualified Name]]</f>
        <v>grafana--grafana-dashboards--production-kpi--fulfilled-orders-today</v>
      </c>
      <c r="O45"/>
      <c r="P45" t="s">
        <v>184</v>
      </c>
      <c r="Q45"/>
    </row>
    <row r="46" spans="2:17" x14ac:dyDescent="0.3">
      <c r="B46">
        <v>45</v>
      </c>
      <c r="C46" s="31" t="s">
        <v>212</v>
      </c>
      <c r="D46" t="s">
        <v>263</v>
      </c>
      <c r="E46" t="s">
        <v>257</v>
      </c>
      <c r="F46" s="33" t="str">
        <f t="shared" ref="F46:F54" si="16">SUBSTITUTE(SUBSTITUTE(SUBSTITUTE(SUBSTITUTE(LOWER(E46),"&amp;",""),"-",""),"  ","-")," ","-")</f>
        <v>grafana</v>
      </c>
      <c r="G46" t="s">
        <v>258</v>
      </c>
      <c r="H46" s="33" t="str">
        <f t="shared" ref="H46:H54" si="17">SUBSTITUTE(SUBSTITUTE(SUBSTITUTE(SUBSTITUTE(LOWER(G46),"&amp;",""),"-",""),"  ","-")," ","-")</f>
        <v>grafana-dashboards</v>
      </c>
      <c r="I46" t="s">
        <v>270</v>
      </c>
      <c r="J46" s="33" t="str">
        <f t="shared" ref="J46:J54" si="18">SUBSTITUTE(SUBSTITUTE(SUBSTITUTE(SUBSTITUTE(LOWER(I46),"&amp;",""),"-",""),"  ","-")," ","-")</f>
        <v>production-kpi</v>
      </c>
      <c r="K46" s="33" t="str">
        <f>Table4[[#This Row],[Intermediate Qualified System Name]]&amp;"--"&amp;Table4[[#This Row],[Collection Intermediate Qualified Name]]&amp;"--"&amp;Table4[[#This Row],[Dataset Intermediate Qualified Name]]</f>
        <v>grafana--grafana-dashboards--production-kpi</v>
      </c>
      <c r="L46" t="s">
        <v>212</v>
      </c>
      <c r="M46" s="33" t="str">
        <f t="shared" ref="M46:M54" si="19">SUBSTITUTE(SUBSTITUTE(SUBSTITUTE(LOWER(L46),"&amp;",""),"  ","-")," ","-")</f>
        <v>planned-orders-today</v>
      </c>
      <c r="N46" s="33" t="str">
        <f>Table4[[#This Row],[Intermediate Qualified System Name]]&amp;"--"&amp;Table4[[#This Row],[Collection Intermediate Qualified Name]]&amp;"--"&amp;Table4[[#This Row],[Dataset Intermediate Qualified Name]]&amp;"--"&amp;Table4[[#This Row],[Field Intermediate Qualified Name]]</f>
        <v>grafana--grafana-dashboards--production-kpi--planned-orders-today</v>
      </c>
      <c r="P46" t="s">
        <v>184</v>
      </c>
    </row>
    <row r="47" spans="2:17" x14ac:dyDescent="0.3">
      <c r="B47">
        <v>46</v>
      </c>
      <c r="C47" s="31" t="s">
        <v>210</v>
      </c>
      <c r="D47" t="s">
        <v>264</v>
      </c>
      <c r="E47" t="s">
        <v>257</v>
      </c>
      <c r="F47" s="33" t="str">
        <f t="shared" si="16"/>
        <v>grafana</v>
      </c>
      <c r="G47" t="s">
        <v>258</v>
      </c>
      <c r="H47" s="33" t="str">
        <f t="shared" si="17"/>
        <v>grafana-dashboards</v>
      </c>
      <c r="I47" t="s">
        <v>270</v>
      </c>
      <c r="J47" s="33" t="str">
        <f t="shared" si="18"/>
        <v>production-kpi</v>
      </c>
      <c r="K47" s="33" t="str">
        <f>Table4[[#This Row],[Intermediate Qualified System Name]]&amp;"--"&amp;Table4[[#This Row],[Collection Intermediate Qualified Name]]&amp;"--"&amp;Table4[[#This Row],[Dataset Intermediate Qualified Name]]</f>
        <v>grafana--grafana-dashboards--production-kpi</v>
      </c>
      <c r="L47" t="s">
        <v>210</v>
      </c>
      <c r="M47" s="33" t="str">
        <f t="shared" si="19"/>
        <v>throughput</v>
      </c>
      <c r="N47" s="33" t="str">
        <f>Table4[[#This Row],[Intermediate Qualified System Name]]&amp;"--"&amp;Table4[[#This Row],[Collection Intermediate Qualified Name]]&amp;"--"&amp;Table4[[#This Row],[Dataset Intermediate Qualified Name]]&amp;"--"&amp;Table4[[#This Row],[Field Intermediate Qualified Name]]</f>
        <v>grafana--grafana-dashboards--production-kpi--throughput</v>
      </c>
      <c r="P47" t="s">
        <v>268</v>
      </c>
    </row>
    <row r="48" spans="2:17" x14ac:dyDescent="0.3">
      <c r="B48">
        <v>47</v>
      </c>
      <c r="C48" s="31" t="s">
        <v>223</v>
      </c>
      <c r="D48" t="s">
        <v>324</v>
      </c>
      <c r="E48" t="s">
        <v>257</v>
      </c>
      <c r="F48" s="33" t="str">
        <f t="shared" si="16"/>
        <v>grafana</v>
      </c>
      <c r="G48" t="s">
        <v>258</v>
      </c>
      <c r="H48" s="33" t="str">
        <f t="shared" si="17"/>
        <v>grafana-dashboards</v>
      </c>
      <c r="I48" t="s">
        <v>270</v>
      </c>
      <c r="J48" s="33" t="str">
        <f t="shared" si="18"/>
        <v>production-kpi</v>
      </c>
      <c r="K48" s="33" t="str">
        <f>Table4[[#This Row],[Intermediate Qualified System Name]]&amp;"--"&amp;Table4[[#This Row],[Collection Intermediate Qualified Name]]&amp;"--"&amp;Table4[[#This Row],[Dataset Intermediate Qualified Name]]</f>
        <v>grafana--grafana-dashboards--production-kpi</v>
      </c>
      <c r="L48" t="s">
        <v>223</v>
      </c>
      <c r="M48" s="33" t="str">
        <f t="shared" si="19"/>
        <v>order-id</v>
      </c>
      <c r="N48" s="33" t="str">
        <f>Table4[[#This Row],[Intermediate Qualified System Name]]&amp;"--"&amp;Table4[[#This Row],[Collection Intermediate Qualified Name]]&amp;"--"&amp;Table4[[#This Row],[Dataset Intermediate Qualified Name]]&amp;"--"&amp;Table4[[#This Row],[Field Intermediate Qualified Name]]</f>
        <v>grafana--grafana-dashboards--production-kpi--order-id</v>
      </c>
      <c r="P48" t="s">
        <v>184</v>
      </c>
    </row>
    <row r="49" spans="2:16" x14ac:dyDescent="0.3">
      <c r="B49">
        <v>48</v>
      </c>
      <c r="C49" s="31" t="s">
        <v>218</v>
      </c>
      <c r="D49" t="s">
        <v>265</v>
      </c>
      <c r="E49" t="s">
        <v>257</v>
      </c>
      <c r="F49" s="33" t="str">
        <f t="shared" si="16"/>
        <v>grafana</v>
      </c>
      <c r="G49" t="s">
        <v>258</v>
      </c>
      <c r="H49" s="33" t="str">
        <f t="shared" si="17"/>
        <v>grafana-dashboards</v>
      </c>
      <c r="I49" t="s">
        <v>270</v>
      </c>
      <c r="J49" s="33" t="str">
        <f t="shared" si="18"/>
        <v>production-kpi</v>
      </c>
      <c r="K49" s="33" t="str">
        <f>Table4[[#This Row],[Intermediate Qualified System Name]]&amp;"--"&amp;Table4[[#This Row],[Collection Intermediate Qualified Name]]&amp;"--"&amp;Table4[[#This Row],[Dataset Intermediate Qualified Name]]</f>
        <v>grafana--grafana-dashboards--production-kpi</v>
      </c>
      <c r="L49" t="s">
        <v>218</v>
      </c>
      <c r="M49" s="33" t="str">
        <f t="shared" si="19"/>
        <v>fulfilled-quantity</v>
      </c>
      <c r="N49" s="33" t="str">
        <f>Table4[[#This Row],[Intermediate Qualified System Name]]&amp;"--"&amp;Table4[[#This Row],[Collection Intermediate Qualified Name]]&amp;"--"&amp;Table4[[#This Row],[Dataset Intermediate Qualified Name]]&amp;"--"&amp;Table4[[#This Row],[Field Intermediate Qualified Name]]</f>
        <v>grafana--grafana-dashboards--production-kpi--fulfilled-quantity</v>
      </c>
      <c r="P49" t="s">
        <v>184</v>
      </c>
    </row>
    <row r="50" spans="2:16" x14ac:dyDescent="0.3">
      <c r="B50">
        <v>49</v>
      </c>
      <c r="C50" s="31" t="s">
        <v>224</v>
      </c>
      <c r="D50" t="s">
        <v>325</v>
      </c>
      <c r="E50" t="s">
        <v>257</v>
      </c>
      <c r="F50" s="33" t="str">
        <f t="shared" si="16"/>
        <v>grafana</v>
      </c>
      <c r="G50" t="s">
        <v>258</v>
      </c>
      <c r="H50" s="33" t="str">
        <f t="shared" si="17"/>
        <v>grafana-dashboards</v>
      </c>
      <c r="I50" t="s">
        <v>270</v>
      </c>
      <c r="J50" s="33" t="str">
        <f t="shared" si="18"/>
        <v>production-kpi</v>
      </c>
      <c r="K50" s="33" t="str">
        <f>Table4[[#This Row],[Intermediate Qualified System Name]]&amp;"--"&amp;Table4[[#This Row],[Collection Intermediate Qualified Name]]&amp;"--"&amp;Table4[[#This Row],[Dataset Intermediate Qualified Name]]</f>
        <v>grafana--grafana-dashboards--production-kpi</v>
      </c>
      <c r="L50" t="s">
        <v>224</v>
      </c>
      <c r="M50" s="33" t="str">
        <f t="shared" si="19"/>
        <v>ordered-quantity</v>
      </c>
      <c r="N50" s="33" t="str">
        <f>Table4[[#This Row],[Intermediate Qualified System Name]]&amp;"--"&amp;Table4[[#This Row],[Collection Intermediate Qualified Name]]&amp;"--"&amp;Table4[[#This Row],[Dataset Intermediate Qualified Name]]&amp;"--"&amp;Table4[[#This Row],[Field Intermediate Qualified Name]]</f>
        <v>grafana--grafana-dashboards--production-kpi--ordered-quantity</v>
      </c>
      <c r="P50" t="s">
        <v>184</v>
      </c>
    </row>
    <row r="51" spans="2:16" x14ac:dyDescent="0.3">
      <c r="B51">
        <v>50</v>
      </c>
      <c r="C51" s="31" t="s">
        <v>219</v>
      </c>
      <c r="D51" t="s">
        <v>266</v>
      </c>
      <c r="E51" t="s">
        <v>257</v>
      </c>
      <c r="F51" s="33" t="str">
        <f t="shared" si="16"/>
        <v>grafana</v>
      </c>
      <c r="G51" t="s">
        <v>258</v>
      </c>
      <c r="H51" s="33" t="str">
        <f t="shared" si="17"/>
        <v>grafana-dashboards</v>
      </c>
      <c r="I51" t="s">
        <v>270</v>
      </c>
      <c r="J51" s="33" t="str">
        <f t="shared" si="18"/>
        <v>production-kpi</v>
      </c>
      <c r="K51" s="33" t="str">
        <f>Table4[[#This Row],[Intermediate Qualified System Name]]&amp;"--"&amp;Table4[[#This Row],[Collection Intermediate Qualified Name]]&amp;"--"&amp;Table4[[#This Row],[Dataset Intermediate Qualified Name]]</f>
        <v>grafana--grafana-dashboards--production-kpi</v>
      </c>
      <c r="L51" t="s">
        <v>219</v>
      </c>
      <c r="M51" s="33" t="str">
        <f t="shared" si="19"/>
        <v>current-fulfillment</v>
      </c>
      <c r="N51" s="33" t="str">
        <f>Table4[[#This Row],[Intermediate Qualified System Name]]&amp;"--"&amp;Table4[[#This Row],[Collection Intermediate Qualified Name]]&amp;"--"&amp;Table4[[#This Row],[Dataset Intermediate Qualified Name]]&amp;"--"&amp;Table4[[#This Row],[Field Intermediate Qualified Name]]</f>
        <v>grafana--grafana-dashboards--production-kpi--current-fulfillment</v>
      </c>
      <c r="P51" t="s">
        <v>184</v>
      </c>
    </row>
    <row r="52" spans="2:16" x14ac:dyDescent="0.3">
      <c r="B52">
        <v>51</v>
      </c>
      <c r="C52" s="31" t="s">
        <v>220</v>
      </c>
      <c r="D52" t="s">
        <v>267</v>
      </c>
      <c r="E52" t="s">
        <v>257</v>
      </c>
      <c r="F52" s="33" t="str">
        <f t="shared" si="16"/>
        <v>grafana</v>
      </c>
      <c r="G52" t="s">
        <v>258</v>
      </c>
      <c r="H52" s="33" t="str">
        <f t="shared" si="17"/>
        <v>grafana-dashboards</v>
      </c>
      <c r="I52" t="s">
        <v>270</v>
      </c>
      <c r="J52" s="33" t="str">
        <f t="shared" si="18"/>
        <v>production-kpi</v>
      </c>
      <c r="K52" s="33" t="str">
        <f>Table4[[#This Row],[Intermediate Qualified System Name]]&amp;"--"&amp;Table4[[#This Row],[Collection Intermediate Qualified Name]]&amp;"--"&amp;Table4[[#This Row],[Dataset Intermediate Qualified Name]]</f>
        <v>grafana--grafana-dashboards--production-kpi</v>
      </c>
      <c r="L52" t="s">
        <v>220</v>
      </c>
      <c r="M52" s="33" t="str">
        <f t="shared" si="19"/>
        <v>estimated-time-of-completion</v>
      </c>
      <c r="N52" s="33" t="str">
        <f>Table4[[#This Row],[Intermediate Qualified System Name]]&amp;"--"&amp;Table4[[#This Row],[Collection Intermediate Qualified Name]]&amp;"--"&amp;Table4[[#This Row],[Dataset Intermediate Qualified Name]]&amp;"--"&amp;Table4[[#This Row],[Field Intermediate Qualified Name]]</f>
        <v>grafana--grafana-dashboards--production-kpi--estimated-time-of-completion</v>
      </c>
      <c r="P52" t="s">
        <v>183</v>
      </c>
    </row>
    <row r="53" spans="2:16" x14ac:dyDescent="0.3">
      <c r="B53">
        <v>52</v>
      </c>
      <c r="C53" s="31" t="s">
        <v>225</v>
      </c>
      <c r="D53" t="s">
        <v>326</v>
      </c>
      <c r="E53" t="s">
        <v>257</v>
      </c>
      <c r="F53" s="33" t="str">
        <f t="shared" si="16"/>
        <v>grafana</v>
      </c>
      <c r="G53" t="s">
        <v>258</v>
      </c>
      <c r="H53" s="33" t="str">
        <f t="shared" si="17"/>
        <v>grafana-dashboards</v>
      </c>
      <c r="I53" t="s">
        <v>270</v>
      </c>
      <c r="J53" s="33" t="str">
        <f t="shared" si="18"/>
        <v>production-kpi</v>
      </c>
      <c r="K53" s="33" t="str">
        <f>Table4[[#This Row],[Intermediate Qualified System Name]]&amp;"--"&amp;Table4[[#This Row],[Collection Intermediate Qualified Name]]&amp;"--"&amp;Table4[[#This Row],[Dataset Intermediate Qualified Name]]</f>
        <v>grafana--grafana-dashboards--production-kpi</v>
      </c>
      <c r="L53" t="s">
        <v>225</v>
      </c>
      <c r="M53" s="33" t="str">
        <f t="shared" si="19"/>
        <v>shipment-slot</v>
      </c>
      <c r="N53" s="33" t="str">
        <f>Table4[[#This Row],[Intermediate Qualified System Name]]&amp;"--"&amp;Table4[[#This Row],[Collection Intermediate Qualified Name]]&amp;"--"&amp;Table4[[#This Row],[Dataset Intermediate Qualified Name]]&amp;"--"&amp;Table4[[#This Row],[Field Intermediate Qualified Name]]</f>
        <v>grafana--grafana-dashboards--production-kpi--shipment-slot</v>
      </c>
      <c r="P53" t="s">
        <v>178</v>
      </c>
    </row>
    <row r="54" spans="2:16" x14ac:dyDescent="0.3">
      <c r="B54">
        <v>53</v>
      </c>
      <c r="C54" s="31" t="s">
        <v>334</v>
      </c>
      <c r="D54" t="s">
        <v>327</v>
      </c>
      <c r="E54" t="s">
        <v>257</v>
      </c>
      <c r="F54" s="33" t="str">
        <f t="shared" si="16"/>
        <v>grafana</v>
      </c>
      <c r="G54" t="s">
        <v>258</v>
      </c>
      <c r="H54" s="33" t="str">
        <f t="shared" si="17"/>
        <v>grafana-dashboards</v>
      </c>
      <c r="I54" t="s">
        <v>270</v>
      </c>
      <c r="J54" s="33" t="str">
        <f t="shared" si="18"/>
        <v>production-kpi</v>
      </c>
      <c r="K54" s="33" t="str">
        <f>Table4[[#This Row],[Intermediate Qualified System Name]]&amp;"--"&amp;Table4[[#This Row],[Collection Intermediate Qualified Name]]&amp;"--"&amp;Table4[[#This Row],[Dataset Intermediate Qualified Name]]</f>
        <v>grafana--grafana-dashboards--production-kpi</v>
      </c>
      <c r="L54" t="s">
        <v>226</v>
      </c>
      <c r="M54" s="33" t="str">
        <f t="shared" si="19"/>
        <v>customer-deadline</v>
      </c>
      <c r="N54" s="33" t="str">
        <f>Table4[[#This Row],[Intermediate Qualified System Name]]&amp;"--"&amp;Table4[[#This Row],[Collection Intermediate Qualified Name]]&amp;"--"&amp;Table4[[#This Row],[Dataset Intermediate Qualified Name]]&amp;"--"&amp;Table4[[#This Row],[Field Intermediate Qualified Name]]</f>
        <v>grafana--grafana-dashboards--production-kpi--customer-deadline</v>
      </c>
      <c r="P54" t="s">
        <v>178</v>
      </c>
    </row>
    <row r="55" spans="2:16" x14ac:dyDescent="0.3">
      <c r="B55"/>
      <c r="D55"/>
      <c r="E55"/>
      <c r="G55"/>
      <c r="I55"/>
      <c r="L55"/>
      <c r="M55" s="33"/>
      <c r="N55" s="33"/>
      <c r="P55"/>
    </row>
    <row r="56" spans="2:16" x14ac:dyDescent="0.3">
      <c r="B56"/>
      <c r="D56"/>
      <c r="E56"/>
      <c r="G56"/>
      <c r="I56"/>
      <c r="L56"/>
      <c r="M56" s="33"/>
      <c r="N56" s="33"/>
      <c r="P56"/>
    </row>
    <row r="57" spans="2:16" x14ac:dyDescent="0.3">
      <c r="B57"/>
      <c r="E57"/>
      <c r="G57"/>
      <c r="I57"/>
      <c r="M57" s="33"/>
      <c r="N57" s="33"/>
    </row>
    <row r="58" spans="2:16" x14ac:dyDescent="0.3">
      <c r="B58"/>
      <c r="E58"/>
      <c r="G58"/>
      <c r="I58"/>
      <c r="M58" s="33"/>
      <c r="N58" s="33"/>
    </row>
    <row r="59" spans="2:16" x14ac:dyDescent="0.3">
      <c r="B59"/>
      <c r="E59"/>
      <c r="G59"/>
      <c r="I59"/>
      <c r="M59" s="33"/>
      <c r="N59" s="33"/>
    </row>
    <row r="60" spans="2:16" x14ac:dyDescent="0.3">
      <c r="B60"/>
      <c r="D60"/>
      <c r="E60"/>
      <c r="G60"/>
      <c r="I60"/>
      <c r="L60"/>
      <c r="M60" s="33"/>
      <c r="N60" s="33"/>
      <c r="P60"/>
    </row>
    <row r="61" spans="2:16" x14ac:dyDescent="0.3">
      <c r="B61"/>
      <c r="D61"/>
      <c r="E61"/>
      <c r="G61"/>
      <c r="I61"/>
      <c r="L61"/>
      <c r="M61" s="33"/>
      <c r="N61" s="33"/>
      <c r="P61"/>
    </row>
    <row r="62" spans="2:16" x14ac:dyDescent="0.3">
      <c r="B62"/>
      <c r="D62"/>
      <c r="E62"/>
      <c r="G62"/>
      <c r="I62"/>
      <c r="L62"/>
      <c r="M62" s="33"/>
      <c r="N62" s="33"/>
      <c r="P62"/>
    </row>
    <row r="63" spans="2:16" x14ac:dyDescent="0.3">
      <c r="B63"/>
      <c r="D63"/>
      <c r="E63"/>
      <c r="G63"/>
      <c r="I63"/>
      <c r="L63"/>
      <c r="M63" s="33"/>
      <c r="N63" s="33"/>
      <c r="P63"/>
    </row>
    <row r="64" spans="2:16" x14ac:dyDescent="0.3">
      <c r="B64"/>
      <c r="D64"/>
      <c r="E64"/>
      <c r="G64"/>
      <c r="I64"/>
      <c r="L64"/>
      <c r="M64" s="33"/>
      <c r="N64" s="33"/>
      <c r="P64"/>
    </row>
    <row r="65" spans="2:16" x14ac:dyDescent="0.3">
      <c r="B65"/>
      <c r="D65"/>
      <c r="E65"/>
      <c r="G65"/>
      <c r="I65"/>
      <c r="L65"/>
      <c r="M65" s="33"/>
      <c r="N65" s="33"/>
      <c r="P65"/>
    </row>
    <row r="66" spans="2:16" x14ac:dyDescent="0.3">
      <c r="B66"/>
      <c r="D66"/>
      <c r="E66"/>
      <c r="G66"/>
      <c r="I66"/>
      <c r="L66"/>
      <c r="M66" s="33"/>
      <c r="N66" s="33"/>
      <c r="P66"/>
    </row>
    <row r="67" spans="2:16" x14ac:dyDescent="0.3">
      <c r="B67"/>
      <c r="D67"/>
      <c r="E67"/>
      <c r="G67"/>
      <c r="I67"/>
      <c r="L67"/>
      <c r="M67" s="33"/>
      <c r="N67" s="33"/>
      <c r="P67"/>
    </row>
    <row r="68" spans="2:16" x14ac:dyDescent="0.3">
      <c r="B68"/>
      <c r="D68"/>
      <c r="E68"/>
      <c r="G68"/>
      <c r="I68"/>
      <c r="L68"/>
      <c r="M68" s="33"/>
      <c r="N68" s="33"/>
      <c r="P68"/>
    </row>
    <row r="69" spans="2:16" x14ac:dyDescent="0.3">
      <c r="B69"/>
      <c r="D69"/>
      <c r="E69"/>
      <c r="G69"/>
      <c r="I69"/>
      <c r="L69"/>
      <c r="M69" s="33"/>
      <c r="N69" s="33"/>
      <c r="P69"/>
    </row>
    <row r="70" spans="2:16" x14ac:dyDescent="0.3">
      <c r="B70"/>
      <c r="D70"/>
      <c r="E70"/>
      <c r="G70"/>
      <c r="I70"/>
      <c r="L70"/>
      <c r="M70" s="33"/>
      <c r="N70" s="33"/>
      <c r="P70"/>
    </row>
    <row r="71" spans="2:16" x14ac:dyDescent="0.3">
      <c r="B71"/>
      <c r="D71"/>
      <c r="E71"/>
      <c r="G71"/>
      <c r="I71"/>
      <c r="L71"/>
      <c r="M71" s="33"/>
      <c r="N71" s="33"/>
      <c r="P71"/>
    </row>
    <row r="72" spans="2:16" x14ac:dyDescent="0.3">
      <c r="B72"/>
      <c r="E72"/>
      <c r="G72"/>
      <c r="I72"/>
      <c r="M72" s="33"/>
      <c r="N72" s="33"/>
    </row>
    <row r="73" spans="2:16" x14ac:dyDescent="0.3">
      <c r="B73"/>
      <c r="E73"/>
      <c r="G73"/>
      <c r="I73"/>
      <c r="M73" s="33"/>
      <c r="N73" s="33"/>
    </row>
    <row r="74" spans="2:16" x14ac:dyDescent="0.3">
      <c r="B74"/>
      <c r="E74"/>
      <c r="G74"/>
      <c r="I74"/>
      <c r="M74" s="33"/>
      <c r="N74" s="33"/>
    </row>
    <row r="75" spans="2:16" x14ac:dyDescent="0.3">
      <c r="B75"/>
      <c r="D75"/>
      <c r="G75"/>
      <c r="L75"/>
      <c r="M75" s="33"/>
      <c r="N75" s="33"/>
      <c r="P75"/>
    </row>
    <row r="76" spans="2:16" x14ac:dyDescent="0.3">
      <c r="B76"/>
      <c r="D76"/>
      <c r="G76"/>
      <c r="L76"/>
      <c r="M76" s="33"/>
      <c r="N76" s="33"/>
      <c r="P76"/>
    </row>
    <row r="77" spans="2:16" x14ac:dyDescent="0.3">
      <c r="B77"/>
      <c r="D77"/>
      <c r="G77"/>
      <c r="L77"/>
      <c r="M77" s="33"/>
      <c r="N77" s="33"/>
      <c r="P77"/>
    </row>
    <row r="78" spans="2:16" x14ac:dyDescent="0.3">
      <c r="B78"/>
      <c r="D78"/>
      <c r="G78"/>
      <c r="L78"/>
      <c r="M78" s="33"/>
      <c r="N78" s="33"/>
      <c r="P78"/>
    </row>
    <row r="79" spans="2:16" x14ac:dyDescent="0.3">
      <c r="B79"/>
      <c r="D79"/>
      <c r="G79"/>
      <c r="L79"/>
      <c r="M79" s="33"/>
      <c r="N79" s="33"/>
      <c r="P79"/>
    </row>
    <row r="80" spans="2:16" x14ac:dyDescent="0.3">
      <c r="B80"/>
      <c r="G80"/>
      <c r="M80" s="33"/>
      <c r="N80" s="33"/>
    </row>
    <row r="81" spans="1:16" x14ac:dyDescent="0.3">
      <c r="B81"/>
      <c r="D81"/>
      <c r="G81"/>
      <c r="L81"/>
      <c r="M81" s="33"/>
      <c r="N81" s="33"/>
      <c r="P81"/>
    </row>
    <row r="82" spans="1:16" x14ac:dyDescent="0.3">
      <c r="B82"/>
      <c r="D82"/>
      <c r="G82"/>
      <c r="L82"/>
      <c r="M82" s="33"/>
      <c r="N82" s="33"/>
      <c r="P82"/>
    </row>
    <row r="83" spans="1:16" x14ac:dyDescent="0.3">
      <c r="B83"/>
      <c r="D83"/>
      <c r="G83"/>
      <c r="L83"/>
      <c r="M83" s="33"/>
      <c r="N83" s="33"/>
      <c r="P83"/>
    </row>
    <row r="84" spans="1:16" x14ac:dyDescent="0.3">
      <c r="B84"/>
      <c r="D84"/>
      <c r="G84"/>
      <c r="L84"/>
      <c r="M84" s="33"/>
      <c r="N84" s="33"/>
      <c r="P84"/>
    </row>
    <row r="85" spans="1:16" x14ac:dyDescent="0.3">
      <c r="B85"/>
      <c r="D85"/>
      <c r="G85"/>
      <c r="L85"/>
      <c r="M85" s="33"/>
      <c r="N85" s="33"/>
      <c r="P85"/>
    </row>
    <row r="86" spans="1:16" x14ac:dyDescent="0.3">
      <c r="B86"/>
      <c r="G86"/>
      <c r="M86" s="33"/>
      <c r="N86" s="33"/>
    </row>
    <row r="87" spans="1:16" x14ac:dyDescent="0.3">
      <c r="A87" s="83"/>
      <c r="B87"/>
      <c r="D87"/>
      <c r="G87"/>
      <c r="L87"/>
      <c r="M87" s="33"/>
      <c r="N87" s="33"/>
    </row>
    <row r="88" spans="1:16" x14ac:dyDescent="0.3">
      <c r="A88" s="83"/>
      <c r="B88"/>
      <c r="D88"/>
      <c r="G88"/>
      <c r="L88"/>
      <c r="M88" s="33"/>
      <c r="N88" s="33"/>
    </row>
    <row r="89" spans="1:16" x14ac:dyDescent="0.3">
      <c r="A89" s="83"/>
      <c r="B89"/>
      <c r="D89"/>
      <c r="G89"/>
      <c r="L89"/>
      <c r="M89" s="33"/>
      <c r="N89" s="33"/>
    </row>
    <row r="90" spans="1:16" x14ac:dyDescent="0.3">
      <c r="A90" s="83"/>
      <c r="B90"/>
      <c r="D90"/>
      <c r="G90"/>
      <c r="L90"/>
      <c r="M90" s="33"/>
      <c r="N90" s="33"/>
    </row>
    <row r="91" spans="1:16" x14ac:dyDescent="0.3">
      <c r="A91" s="83"/>
      <c r="B91"/>
      <c r="D91"/>
      <c r="G91"/>
      <c r="L91"/>
      <c r="M91" s="33"/>
      <c r="N91" s="33"/>
    </row>
    <row r="92" spans="1:16" x14ac:dyDescent="0.3">
      <c r="A92" s="83"/>
      <c r="B92"/>
      <c r="G92"/>
      <c r="M92" s="33"/>
      <c r="N92" s="33"/>
    </row>
    <row r="93" spans="1:16" x14ac:dyDescent="0.3">
      <c r="B93"/>
      <c r="D93"/>
      <c r="G93"/>
      <c r="L93"/>
      <c r="M93" s="33"/>
      <c r="N93" s="33"/>
    </row>
    <row r="94" spans="1:16" x14ac:dyDescent="0.3">
      <c r="B94"/>
      <c r="D94"/>
      <c r="G94"/>
      <c r="L94"/>
      <c r="M94" s="33"/>
      <c r="N94" s="33"/>
    </row>
    <row r="95" spans="1:16" x14ac:dyDescent="0.3">
      <c r="B95"/>
      <c r="D95"/>
      <c r="G95"/>
      <c r="L95"/>
      <c r="M95" s="33"/>
      <c r="N95" s="33"/>
    </row>
    <row r="96" spans="1:16" x14ac:dyDescent="0.3">
      <c r="B96"/>
      <c r="D96"/>
      <c r="G96"/>
      <c r="L96"/>
      <c r="M96" s="33"/>
      <c r="N96" s="33"/>
    </row>
    <row r="97" spans="1:16" x14ac:dyDescent="0.3">
      <c r="B97"/>
      <c r="D97"/>
      <c r="G97"/>
      <c r="L97"/>
      <c r="M97" s="33"/>
      <c r="N97" s="33"/>
    </row>
    <row r="98" spans="1:16" x14ac:dyDescent="0.3">
      <c r="B98"/>
      <c r="G98"/>
      <c r="M98" s="33"/>
      <c r="N98" s="33"/>
    </row>
    <row r="99" spans="1:16" x14ac:dyDescent="0.3">
      <c r="A99" s="83"/>
      <c r="B99"/>
      <c r="G99"/>
      <c r="I99"/>
      <c r="M99" s="33"/>
      <c r="N99" s="33"/>
    </row>
    <row r="100" spans="1:16" x14ac:dyDescent="0.3">
      <c r="A100" s="83"/>
      <c r="B100"/>
      <c r="D100"/>
      <c r="G100"/>
      <c r="I100"/>
      <c r="L100"/>
      <c r="M100" s="33"/>
      <c r="N100" s="33"/>
    </row>
    <row r="101" spans="1:16" x14ac:dyDescent="0.3">
      <c r="A101" s="83"/>
      <c r="B101"/>
      <c r="D101"/>
      <c r="G101"/>
      <c r="I101"/>
      <c r="L101"/>
      <c r="M101" s="33"/>
      <c r="N101" s="33"/>
    </row>
    <row r="102" spans="1:16" x14ac:dyDescent="0.3">
      <c r="A102" s="83"/>
      <c r="B102"/>
      <c r="D102"/>
      <c r="G102"/>
      <c r="I102"/>
      <c r="L102"/>
      <c r="M102" s="33"/>
      <c r="N102" s="33"/>
    </row>
    <row r="103" spans="1:16" x14ac:dyDescent="0.3">
      <c r="A103" s="83"/>
      <c r="B103"/>
      <c r="D103"/>
      <c r="G103"/>
      <c r="I103"/>
      <c r="L103"/>
      <c r="M103" s="33"/>
      <c r="N103" s="33"/>
    </row>
    <row r="104" spans="1:16" x14ac:dyDescent="0.3">
      <c r="A104" s="83"/>
      <c r="B104"/>
      <c r="D104"/>
      <c r="G104"/>
      <c r="I104"/>
      <c r="L104"/>
      <c r="M104" s="33"/>
      <c r="N104" s="33"/>
    </row>
    <row r="105" spans="1:16" x14ac:dyDescent="0.3">
      <c r="B105"/>
      <c r="G105"/>
      <c r="M105" s="33"/>
      <c r="N105" s="33"/>
    </row>
    <row r="106" spans="1:16" x14ac:dyDescent="0.3">
      <c r="B106"/>
      <c r="D106"/>
      <c r="G106"/>
      <c r="L106"/>
      <c r="M106" s="33"/>
      <c r="N106" s="33"/>
    </row>
    <row r="107" spans="1:16" x14ac:dyDescent="0.3">
      <c r="B107"/>
      <c r="D107"/>
      <c r="G107"/>
      <c r="L107"/>
      <c r="M107" s="33"/>
      <c r="N107" s="33"/>
    </row>
    <row r="108" spans="1:16" x14ac:dyDescent="0.3">
      <c r="B108"/>
      <c r="D108"/>
      <c r="G108"/>
      <c r="L108"/>
      <c r="M108" s="33"/>
      <c r="N108" s="33"/>
    </row>
    <row r="109" spans="1:16" x14ac:dyDescent="0.3">
      <c r="B109"/>
      <c r="D109"/>
      <c r="G109"/>
      <c r="L109"/>
      <c r="M109" s="33"/>
      <c r="N109" s="33"/>
    </row>
    <row r="110" spans="1:16" x14ac:dyDescent="0.3">
      <c r="B110"/>
      <c r="D110"/>
      <c r="G110"/>
      <c r="L110"/>
      <c r="M110" s="33"/>
      <c r="N110" s="33"/>
    </row>
    <row r="111" spans="1:16" x14ac:dyDescent="0.3">
      <c r="B111"/>
      <c r="D111"/>
      <c r="G111"/>
      <c r="L111"/>
      <c r="M111" s="33"/>
      <c r="N111" s="33"/>
      <c r="P111"/>
    </row>
    <row r="112" spans="1:16" x14ac:dyDescent="0.3">
      <c r="B112"/>
      <c r="D112"/>
      <c r="G112"/>
      <c r="L112"/>
      <c r="M112" s="33"/>
      <c r="N112" s="33"/>
      <c r="P112"/>
    </row>
    <row r="113" spans="2:16" x14ac:dyDescent="0.3">
      <c r="B113"/>
      <c r="D113"/>
      <c r="G113"/>
      <c r="L113"/>
      <c r="M113" s="33"/>
      <c r="N113" s="33"/>
      <c r="P113"/>
    </row>
    <row r="114" spans="2:16" x14ac:dyDescent="0.3">
      <c r="B114"/>
      <c r="D114"/>
      <c r="G114"/>
      <c r="L114"/>
      <c r="M114" s="33"/>
      <c r="N114" s="33"/>
      <c r="P114"/>
    </row>
    <row r="115" spans="2:16" x14ac:dyDescent="0.3">
      <c r="B115"/>
      <c r="D115"/>
      <c r="G115"/>
      <c r="L115"/>
      <c r="M115" s="33"/>
      <c r="N115" s="33"/>
      <c r="P115"/>
    </row>
    <row r="116" spans="2:16" x14ac:dyDescent="0.3">
      <c r="B116"/>
      <c r="G116"/>
      <c r="M116" s="33"/>
      <c r="N116" s="33"/>
    </row>
    <row r="117" spans="2:16" x14ac:dyDescent="0.3">
      <c r="B117"/>
      <c r="D117"/>
      <c r="L117"/>
      <c r="M117" s="33"/>
      <c r="N117" s="33"/>
      <c r="P117"/>
    </row>
    <row r="118" spans="2:16" x14ac:dyDescent="0.3">
      <c r="B118"/>
      <c r="D118"/>
      <c r="L118"/>
      <c r="M118" s="33"/>
      <c r="N118" s="33"/>
      <c r="P118"/>
    </row>
    <row r="119" spans="2:16" x14ac:dyDescent="0.3">
      <c r="B119"/>
      <c r="D119"/>
      <c r="L119"/>
      <c r="M119" s="33"/>
      <c r="N119" s="33"/>
      <c r="P119"/>
    </row>
    <row r="120" spans="2:16" x14ac:dyDescent="0.3">
      <c r="B120"/>
      <c r="D120"/>
      <c r="L120"/>
      <c r="M120" s="33"/>
      <c r="N120" s="33"/>
      <c r="P120"/>
    </row>
    <row r="121" spans="2:16" x14ac:dyDescent="0.3">
      <c r="B121"/>
      <c r="D121"/>
      <c r="L121"/>
      <c r="M121" s="33"/>
      <c r="N121" s="33"/>
      <c r="P121"/>
    </row>
    <row r="122" spans="2:16" x14ac:dyDescent="0.3">
      <c r="B122"/>
      <c r="M122" s="33"/>
      <c r="N122" s="33"/>
    </row>
  </sheetData>
  <phoneticPr fontId="3" type="noConversion"/>
  <dataValidations count="1">
    <dataValidation type="list" allowBlank="1" showInputMessage="1" showErrorMessage="1" sqref="Q2:Q122" xr:uid="{936963CD-63A4-4152-9549-F7D0C1F3BC82}">
      <formula1>"Yes,No"</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D24E730-4306-416E-B93F-FF57B371FB87}">
          <x14:formula1>
            <xm:f>'7. Define sys, collect. &amp; datas'!$B$3:$B$1048576</xm:f>
          </x14:formula1>
          <xm:sqref>E2:E122</xm:sqref>
        </x14:dataValidation>
        <x14:dataValidation type="list" allowBlank="1" showInputMessage="1" showErrorMessage="1" xr:uid="{F15092A8-4ADA-4741-85B9-22B75E1B91D6}">
          <x14:formula1>
            <xm:f>'7. Define sys, collect. &amp; datas'!$C$3:$C$1048576</xm:f>
          </x14:formula1>
          <xm:sqref>G1:G1048576</xm:sqref>
        </x14:dataValidation>
        <x14:dataValidation type="list" allowBlank="1" showInputMessage="1" showErrorMessage="1" xr:uid="{4826531B-BA3B-47F8-BF34-0D516D057769}">
          <x14:formula1>
            <xm:f>'7. Define sys, collect. &amp; datas'!$D:$D</xm:f>
          </x14:formula1>
          <xm:sqref>I1:I1048576</xm:sqref>
        </x14:dataValidation>
        <x14:dataValidation type="list" allowBlank="1" showInputMessage="1" showErrorMessage="1" xr:uid="{4060D669-C9CB-41DB-9B53-2A4D7BA31657}">
          <x14:formula1>
            <xm:f>'3. L3 Data Attributes'!$H:$H</xm:f>
          </x14:formula1>
          <xm:sqref>D2:D122</xm:sqref>
        </x14:dataValidation>
        <x14:dataValidation type="list" allowBlank="1" showInputMessage="1" showErrorMessage="1" xr:uid="{007FCC87-B40F-4636-9E88-49FC9BC149C8}">
          <x14:formula1>
            <xm:f>'3. L3 Data Attributes'!$E$2:E922</xm:f>
          </x14:formula1>
          <xm:sqref>C2:C49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FA7A-7427-4B99-81C5-3E58DE27B7E1}">
  <sheetPr codeName="Sheet9"/>
  <dimension ref="A1:G3"/>
  <sheetViews>
    <sheetView zoomScale="70" zoomScaleNormal="70" workbookViewId="0">
      <selection activeCell="A4" sqref="A4:A6087"/>
    </sheetView>
  </sheetViews>
  <sheetFormatPr defaultRowHeight="14.4" x14ac:dyDescent="0.3"/>
  <cols>
    <col min="1" max="1" width="5.77734375" bestFit="1" customWidth="1"/>
    <col min="5" max="5" width="43.6640625" style="72" bestFit="1" customWidth="1"/>
    <col min="6" max="6" width="32.21875" style="72" bestFit="1" customWidth="1"/>
  </cols>
  <sheetData>
    <row r="1" spans="1:7" x14ac:dyDescent="0.3">
      <c r="A1" t="s">
        <v>13</v>
      </c>
      <c r="B1" t="s">
        <v>74</v>
      </c>
      <c r="C1" t="s">
        <v>85</v>
      </c>
      <c r="D1" t="s">
        <v>87</v>
      </c>
      <c r="E1" t="s">
        <v>128</v>
      </c>
      <c r="F1" t="s">
        <v>89</v>
      </c>
      <c r="G1" t="s">
        <v>21</v>
      </c>
    </row>
    <row r="2" spans="1:7" x14ac:dyDescent="0.3">
      <c r="A2">
        <v>1</v>
      </c>
    </row>
    <row r="3" spans="1:7" x14ac:dyDescent="0.3">
      <c r="A3">
        <v>2</v>
      </c>
    </row>
  </sheetData>
  <conditionalFormatting sqref="C2:C1048576">
    <cfRule type="expression" dxfId="65" priority="1">
      <formula>#REF!="No"</formula>
    </cfRule>
  </conditionalFormatting>
  <conditionalFormatting sqref="C2:G1048576">
    <cfRule type="expression" dxfId="64" priority="8">
      <formula>#REF!="No"</formula>
    </cfRule>
  </conditionalFormatting>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F5906D2-F44E-48B3-8514-0BB55B45BDBA}">
          <x14:formula1>
            <xm:f>'4. L4 Fields'!$N$2:$N$23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0FF0-66CA-4678-955A-D857ED26081D}">
  <sheetPr codeName="Sheet11"/>
  <dimension ref="B1:D29"/>
  <sheetViews>
    <sheetView zoomScale="80" zoomScaleNormal="80" workbookViewId="0">
      <selection activeCell="I15" sqref="I15"/>
    </sheetView>
  </sheetViews>
  <sheetFormatPr defaultRowHeight="14.4" x14ac:dyDescent="0.3"/>
  <cols>
    <col min="2" max="2" width="32.21875" bestFit="1" customWidth="1"/>
    <col min="3" max="3" width="30" bestFit="1" customWidth="1"/>
    <col min="4" max="4" width="63.21875" bestFit="1" customWidth="1"/>
  </cols>
  <sheetData>
    <row r="1" spans="2:4" x14ac:dyDescent="0.3">
      <c r="B1" t="s">
        <v>130</v>
      </c>
      <c r="C1" t="s">
        <v>131</v>
      </c>
      <c r="D1" t="s">
        <v>132</v>
      </c>
    </row>
    <row r="2" spans="2:4" x14ac:dyDescent="0.3">
      <c r="B2" t="s">
        <v>175</v>
      </c>
      <c r="C2" t="s">
        <v>242</v>
      </c>
      <c r="D2" t="s">
        <v>243</v>
      </c>
    </row>
    <row r="3" spans="2:4" x14ac:dyDescent="0.3">
      <c r="B3" t="s">
        <v>173</v>
      </c>
      <c r="C3" t="s">
        <v>196</v>
      </c>
      <c r="D3" t="s">
        <v>244</v>
      </c>
    </row>
    <row r="4" spans="2:4" x14ac:dyDescent="0.3">
      <c r="B4" s="79" t="s">
        <v>174</v>
      </c>
      <c r="C4" t="s">
        <v>247</v>
      </c>
      <c r="D4" t="s">
        <v>245</v>
      </c>
    </row>
    <row r="5" spans="2:4" x14ac:dyDescent="0.3">
      <c r="B5" t="s">
        <v>246</v>
      </c>
      <c r="C5" t="s">
        <v>252</v>
      </c>
      <c r="D5" t="s">
        <v>248</v>
      </c>
    </row>
    <row r="6" spans="2:4" x14ac:dyDescent="0.3">
      <c r="B6" s="79" t="s">
        <v>249</v>
      </c>
      <c r="C6" t="s">
        <v>251</v>
      </c>
      <c r="D6" t="s">
        <v>250</v>
      </c>
    </row>
    <row r="7" spans="2:4" x14ac:dyDescent="0.3">
      <c r="B7" t="s">
        <v>257</v>
      </c>
      <c r="C7" t="s">
        <v>258</v>
      </c>
      <c r="D7" t="s">
        <v>270</v>
      </c>
    </row>
    <row r="8" spans="2:4" x14ac:dyDescent="0.3">
      <c r="B8" t="s">
        <v>175</v>
      </c>
      <c r="C8" t="s">
        <v>242</v>
      </c>
      <c r="D8" t="s">
        <v>243</v>
      </c>
    </row>
    <row r="9" spans="2:4" x14ac:dyDescent="0.3">
      <c r="B9" s="79"/>
    </row>
    <row r="10" spans="2:4" x14ac:dyDescent="0.3">
      <c r="B10" s="79"/>
    </row>
    <row r="11" spans="2:4" x14ac:dyDescent="0.3">
      <c r="B11" s="79"/>
    </row>
    <row r="12" spans="2:4" x14ac:dyDescent="0.3">
      <c r="B12" s="82"/>
    </row>
    <row r="13" spans="2:4" x14ac:dyDescent="0.3">
      <c r="B13" s="82"/>
    </row>
    <row r="15" spans="2:4" x14ac:dyDescent="0.3">
      <c r="B15" s="79"/>
      <c r="C15" s="80"/>
      <c r="D15" s="81"/>
    </row>
    <row r="29" spans="4:4" x14ac:dyDescent="0.3">
      <c r="D29" t="s">
        <v>271</v>
      </c>
    </row>
  </sheetData>
  <phoneticPr fontId="3"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B7168-32BF-49E6-87EC-4437B174716E}">
  <sheetPr codeName="Sheet10"/>
  <dimension ref="B1:L52"/>
  <sheetViews>
    <sheetView zoomScale="63" zoomScaleNormal="50" workbookViewId="0">
      <selection activeCell="F21" sqref="F21"/>
    </sheetView>
  </sheetViews>
  <sheetFormatPr defaultColWidth="8.77734375" defaultRowHeight="14.4" x14ac:dyDescent="0.3"/>
  <cols>
    <col min="2" max="4" width="8.88671875"/>
    <col min="5" max="5" width="21.5546875" style="65" customWidth="1"/>
    <col min="6" max="6" width="82.21875" style="77" customWidth="1"/>
    <col min="7" max="7" width="22.5546875" style="77" customWidth="1"/>
    <col min="8" max="8" width="15.21875" style="73" customWidth="1"/>
    <col min="9" max="9" width="44.5546875" style="78" bestFit="1" customWidth="1"/>
    <col min="10" max="10" width="7.77734375" style="73" customWidth="1"/>
    <col min="11" max="11" width="8.88671875"/>
    <col min="12" max="12" width="9.21875" style="31"/>
  </cols>
  <sheetData>
    <row r="1" spans="2:11" x14ac:dyDescent="0.3">
      <c r="B1" t="s">
        <v>13</v>
      </c>
      <c r="C1" t="s">
        <v>74</v>
      </c>
      <c r="D1" t="s">
        <v>129</v>
      </c>
      <c r="E1" t="s">
        <v>96</v>
      </c>
      <c r="F1" t="s">
        <v>98</v>
      </c>
      <c r="G1" t="s">
        <v>100</v>
      </c>
      <c r="H1" t="s">
        <v>102</v>
      </c>
      <c r="I1" t="s">
        <v>104</v>
      </c>
      <c r="J1" t="s">
        <v>106</v>
      </c>
      <c r="K1" t="s">
        <v>108</v>
      </c>
    </row>
    <row r="2" spans="2:11" x14ac:dyDescent="0.3">
      <c r="F2"/>
      <c r="G2"/>
      <c r="I2"/>
      <c r="J2"/>
    </row>
    <row r="3" spans="2:11" x14ac:dyDescent="0.3">
      <c r="F3"/>
      <c r="G3"/>
      <c r="I3"/>
      <c r="J3"/>
    </row>
    <row r="4" spans="2:11" x14ac:dyDescent="0.3">
      <c r="E4" s="31"/>
      <c r="F4"/>
      <c r="G4"/>
      <c r="H4" s="74"/>
      <c r="I4"/>
      <c r="J4"/>
    </row>
    <row r="5" spans="2:11" x14ac:dyDescent="0.3">
      <c r="E5" s="31"/>
      <c r="F5"/>
      <c r="G5"/>
      <c r="H5" s="74"/>
      <c r="I5"/>
      <c r="J5"/>
    </row>
    <row r="6" spans="2:11" x14ac:dyDescent="0.3">
      <c r="F6"/>
      <c r="G6"/>
      <c r="I6"/>
      <c r="J6"/>
    </row>
    <row r="7" spans="2:11" x14ac:dyDescent="0.3">
      <c r="F7"/>
      <c r="G7"/>
      <c r="I7"/>
      <c r="J7"/>
    </row>
    <row r="8" spans="2:11" x14ac:dyDescent="0.3">
      <c r="E8" s="31"/>
      <c r="F8"/>
      <c r="G8"/>
      <c r="H8" s="74"/>
      <c r="I8"/>
      <c r="J8"/>
    </row>
    <row r="9" spans="2:11" x14ac:dyDescent="0.3">
      <c r="E9" s="31"/>
      <c r="F9"/>
      <c r="G9"/>
      <c r="H9" s="74"/>
      <c r="I9"/>
      <c r="J9"/>
    </row>
    <row r="10" spans="2:11" x14ac:dyDescent="0.3">
      <c r="F10"/>
      <c r="G10"/>
      <c r="I10"/>
      <c r="J10"/>
    </row>
    <row r="11" spans="2:11" x14ac:dyDescent="0.3">
      <c r="F11"/>
      <c r="G11"/>
      <c r="I11"/>
      <c r="J11"/>
    </row>
    <row r="12" spans="2:11" x14ac:dyDescent="0.3">
      <c r="E12" s="31"/>
      <c r="F12"/>
      <c r="G12"/>
      <c r="H12" s="74"/>
      <c r="I12"/>
      <c r="J12"/>
    </row>
    <row r="13" spans="2:11" x14ac:dyDescent="0.3">
      <c r="E13" s="31"/>
      <c r="F13"/>
      <c r="G13"/>
      <c r="H13" s="74"/>
      <c r="I13"/>
      <c r="J13"/>
    </row>
    <row r="14" spans="2:11" x14ac:dyDescent="0.3">
      <c r="E14" s="31"/>
      <c r="F14"/>
      <c r="G14"/>
      <c r="H14" s="74"/>
      <c r="I14"/>
      <c r="J14"/>
    </row>
    <row r="15" spans="2:11" x14ac:dyDescent="0.3">
      <c r="E15" s="31"/>
      <c r="F15"/>
      <c r="G15"/>
      <c r="H15" s="74"/>
      <c r="I15"/>
      <c r="J15"/>
    </row>
    <row r="16" spans="2:11" x14ac:dyDescent="0.3">
      <c r="F16"/>
      <c r="G16"/>
      <c r="I16"/>
      <c r="J16"/>
    </row>
    <row r="17" spans="5:10" x14ac:dyDescent="0.3">
      <c r="E17" s="31"/>
      <c r="F17"/>
      <c r="G17"/>
      <c r="H17" s="74"/>
      <c r="I17"/>
      <c r="J17"/>
    </row>
    <row r="18" spans="5:10" x14ac:dyDescent="0.3">
      <c r="F18"/>
      <c r="G18"/>
      <c r="I18"/>
      <c r="J18"/>
    </row>
    <row r="19" spans="5:10" x14ac:dyDescent="0.3">
      <c r="F19"/>
      <c r="G19"/>
      <c r="I19"/>
      <c r="J19"/>
    </row>
    <row r="20" spans="5:10" x14ac:dyDescent="0.3">
      <c r="E20" s="31"/>
      <c r="F20"/>
      <c r="G20"/>
      <c r="H20" s="74"/>
      <c r="I20"/>
      <c r="J20"/>
    </row>
    <row r="21" spans="5:10" x14ac:dyDescent="0.3">
      <c r="E21" s="31"/>
      <c r="F21"/>
      <c r="G21"/>
      <c r="H21" s="74"/>
      <c r="I21"/>
      <c r="J21"/>
    </row>
    <row r="22" spans="5:10" x14ac:dyDescent="0.3">
      <c r="E22" s="31"/>
      <c r="F22" s="63"/>
      <c r="G22"/>
      <c r="H22" s="74"/>
      <c r="I22"/>
      <c r="J22"/>
    </row>
    <row r="23" spans="5:10" x14ac:dyDescent="0.3">
      <c r="E23" s="31"/>
      <c r="F23"/>
      <c r="G23"/>
      <c r="H23" s="74"/>
      <c r="I23"/>
      <c r="J23"/>
    </row>
    <row r="24" spans="5:10" x14ac:dyDescent="0.3">
      <c r="E24" s="31"/>
      <c r="F24"/>
      <c r="G24"/>
      <c r="H24" s="74"/>
      <c r="I24"/>
      <c r="J24"/>
    </row>
    <row r="25" spans="5:10" x14ac:dyDescent="0.3">
      <c r="E25" s="31"/>
      <c r="F25"/>
      <c r="G25"/>
      <c r="H25" s="74"/>
      <c r="I25"/>
      <c r="J25"/>
    </row>
    <row r="26" spans="5:10" x14ac:dyDescent="0.3">
      <c r="E26" s="31"/>
      <c r="F26"/>
      <c r="G26"/>
      <c r="H26" s="74"/>
      <c r="I26"/>
      <c r="J26"/>
    </row>
    <row r="27" spans="5:10" x14ac:dyDescent="0.3">
      <c r="E27" s="31"/>
      <c r="F27" s="63"/>
      <c r="G27"/>
      <c r="H27" s="74"/>
      <c r="I27"/>
      <c r="J27"/>
    </row>
    <row r="28" spans="5:10" x14ac:dyDescent="0.3">
      <c r="F28"/>
      <c r="G28"/>
      <c r="I28"/>
      <c r="J28"/>
    </row>
    <row r="29" spans="5:10" x14ac:dyDescent="0.3">
      <c r="E29" s="31"/>
      <c r="F29"/>
      <c r="G29"/>
      <c r="H29" s="74"/>
      <c r="I29"/>
      <c r="J29"/>
    </row>
    <row r="30" spans="5:10" x14ac:dyDescent="0.3">
      <c r="E30" s="31"/>
      <c r="F30"/>
      <c r="G30"/>
      <c r="H30" s="74"/>
      <c r="I30"/>
      <c r="J30"/>
    </row>
    <row r="31" spans="5:10" x14ac:dyDescent="0.3">
      <c r="E31" s="31"/>
      <c r="F31"/>
      <c r="G31"/>
      <c r="H31" s="74"/>
      <c r="I31"/>
      <c r="J31"/>
    </row>
    <row r="32" spans="5:10" x14ac:dyDescent="0.3">
      <c r="E32" s="31"/>
      <c r="F32"/>
      <c r="G32"/>
      <c r="H32" s="74"/>
      <c r="I32"/>
      <c r="J32"/>
    </row>
    <row r="33" spans="5:10" x14ac:dyDescent="0.3">
      <c r="F33"/>
      <c r="G33"/>
      <c r="I33"/>
      <c r="J33"/>
    </row>
    <row r="34" spans="5:10" x14ac:dyDescent="0.3">
      <c r="E34" s="31"/>
      <c r="F34"/>
      <c r="G34"/>
      <c r="H34" s="74"/>
      <c r="I34"/>
      <c r="J34"/>
    </row>
    <row r="35" spans="5:10" x14ac:dyDescent="0.3">
      <c r="E35" s="31"/>
      <c r="F35"/>
      <c r="G35"/>
      <c r="H35" s="74"/>
      <c r="I35"/>
      <c r="J35"/>
    </row>
    <row r="36" spans="5:10" x14ac:dyDescent="0.3">
      <c r="E36" s="31"/>
      <c r="F36"/>
      <c r="G36"/>
      <c r="H36" s="74"/>
      <c r="I36"/>
      <c r="J36"/>
    </row>
    <row r="37" spans="5:10" x14ac:dyDescent="0.3">
      <c r="E37" s="31"/>
      <c r="F37"/>
      <c r="G37"/>
      <c r="H37" s="74"/>
      <c r="I37"/>
      <c r="J37"/>
    </row>
    <row r="38" spans="5:10" x14ac:dyDescent="0.3">
      <c r="E38" s="31"/>
      <c r="F38"/>
      <c r="G38"/>
      <c r="H38" s="74"/>
      <c r="I38"/>
      <c r="J38"/>
    </row>
    <row r="39" spans="5:10" x14ac:dyDescent="0.3">
      <c r="E39" s="31"/>
      <c r="F39"/>
      <c r="G39"/>
      <c r="H39" s="74"/>
      <c r="I39"/>
      <c r="J39"/>
    </row>
    <row r="40" spans="5:10" x14ac:dyDescent="0.3">
      <c r="E40" s="31"/>
      <c r="F40"/>
      <c r="G40"/>
      <c r="H40" s="74"/>
      <c r="I40"/>
      <c r="J40"/>
    </row>
    <row r="41" spans="5:10" x14ac:dyDescent="0.3">
      <c r="E41" s="31"/>
      <c r="F41"/>
      <c r="G41"/>
      <c r="H41" s="74"/>
      <c r="I41"/>
      <c r="J41"/>
    </row>
    <row r="42" spans="5:10" x14ac:dyDescent="0.3">
      <c r="E42" s="31"/>
      <c r="F42"/>
      <c r="G42"/>
      <c r="H42" s="74"/>
      <c r="I42"/>
      <c r="J42"/>
    </row>
    <row r="43" spans="5:10" x14ac:dyDescent="0.3">
      <c r="F43"/>
      <c r="G43"/>
      <c r="I43"/>
      <c r="J43"/>
    </row>
    <row r="44" spans="5:10" x14ac:dyDescent="0.3">
      <c r="E44" s="31"/>
      <c r="F44"/>
      <c r="G44"/>
      <c r="H44" s="74"/>
      <c r="I44"/>
      <c r="J44"/>
    </row>
    <row r="45" spans="5:10" x14ac:dyDescent="0.3">
      <c r="E45" s="75"/>
      <c r="F45"/>
      <c r="G45"/>
      <c r="H45" s="76"/>
      <c r="I45"/>
      <c r="J45"/>
    </row>
    <row r="46" spans="5:10" x14ac:dyDescent="0.3">
      <c r="F46"/>
      <c r="G46"/>
      <c r="I46"/>
      <c r="J46"/>
    </row>
    <row r="47" spans="5:10" x14ac:dyDescent="0.3">
      <c r="E47" s="31"/>
      <c r="F47"/>
      <c r="G47"/>
      <c r="H47" s="74"/>
      <c r="I47"/>
      <c r="J47"/>
    </row>
    <row r="48" spans="5:10" x14ac:dyDescent="0.3">
      <c r="E48" s="75"/>
      <c r="F48"/>
      <c r="G48"/>
      <c r="H48" s="76"/>
      <c r="I48"/>
      <c r="J48"/>
    </row>
    <row r="49" spans="6:10" x14ac:dyDescent="0.3">
      <c r="F49"/>
      <c r="G49"/>
      <c r="I49"/>
      <c r="J49"/>
    </row>
    <row r="50" spans="6:10" x14ac:dyDescent="0.3">
      <c r="F50"/>
      <c r="G50"/>
      <c r="J50"/>
    </row>
    <row r="51" spans="6:10" x14ac:dyDescent="0.3">
      <c r="G51"/>
      <c r="J51"/>
    </row>
    <row r="52" spans="6:10" x14ac:dyDescent="0.3">
      <c r="G52"/>
      <c r="J52"/>
    </row>
  </sheetData>
  <dataValidations count="6">
    <dataValidation type="list" allowBlank="1" showInputMessage="1" showErrorMessage="1" sqref="G2:G6 G8:G12 G18 G20:G22 G24:G25 G27 G32 G40:G42 G44:G45 G29:G30 G14:G16 G34:G38 G47:G1048576" xr:uid="{58FC7360-8A07-4FA0-9847-02C8F920F38D}">
      <formula1>"Completeness,Consistency,Accuracy,Timeliness,Uniqueness,Validity"</formula1>
    </dataValidation>
    <dataValidation type="list" allowBlank="1" showInputMessage="1" showErrorMessage="1" sqref="G23 G13 G17 G19 G26 G28 G31 G33 G39 G43 G46" xr:uid="{DC2DC101-032B-416E-9DB9-08ECD17ECCAC}">
      <formula1>"Completeness,Consistency,Accuracy,Timeliness"</formula1>
    </dataValidation>
    <dataValidation type="list" allowBlank="1" showInputMessage="1" showErrorMessage="1" sqref="H2:H1048576" xr:uid="{6D8F9484-18CF-453A-9CC9-CDD434CD7C81}">
      <formula1>"Yes,No"</formula1>
    </dataValidation>
    <dataValidation type="list" allowBlank="1" showInputMessage="1" showErrorMessage="1" sqref="J2:J1048576" xr:uid="{53882271-1D36-4FA4-8D8A-AF3F6F61019A}">
      <formula1>"0,1"</formula1>
    </dataValidation>
    <dataValidation type="whole" allowBlank="1" showInputMessage="1" showErrorMessage="1" sqref="K2:K1048576" xr:uid="{9C21A2E6-A4AA-4606-A88C-94DAB2272E69}">
      <formula1>1</formula1>
      <formula2>999</formula2>
    </dataValidation>
    <dataValidation type="list" allowBlank="1" showInputMessage="1" showErrorMessage="1" sqref="C2:D1048576" xr:uid="{198E23CB-8828-46E1-9968-B586AFA321DD}"/>
  </dataValidation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4843C-C610-42E0-8DDA-47169D7979E0}">
  <sheetPr codeName="Sheet12"/>
  <dimension ref="B1:D11"/>
  <sheetViews>
    <sheetView workbookViewId="0">
      <selection activeCell="D15" sqref="D15"/>
    </sheetView>
  </sheetViews>
  <sheetFormatPr defaultRowHeight="14.4" x14ac:dyDescent="0.3"/>
  <cols>
    <col min="2" max="2" width="9.77734375" customWidth="1"/>
    <col min="3" max="3" width="32.77734375" bestFit="1" customWidth="1"/>
    <col min="4" max="4" width="37.77734375" bestFit="1" customWidth="1"/>
  </cols>
  <sheetData>
    <row r="1" spans="2:4" x14ac:dyDescent="0.3">
      <c r="B1" t="s">
        <v>13</v>
      </c>
      <c r="C1" t="s">
        <v>112</v>
      </c>
      <c r="D1" t="s">
        <v>114</v>
      </c>
    </row>
    <row r="2" spans="2:4" x14ac:dyDescent="0.3">
      <c r="B2">
        <v>1</v>
      </c>
      <c r="C2" t="s">
        <v>272</v>
      </c>
      <c r="D2" s="95" t="s">
        <v>273</v>
      </c>
    </row>
    <row r="3" spans="2:4" x14ac:dyDescent="0.3">
      <c r="B3">
        <v>2</v>
      </c>
      <c r="C3" t="s">
        <v>274</v>
      </c>
      <c r="D3" s="95" t="s">
        <v>275</v>
      </c>
    </row>
    <row r="4" spans="2:4" x14ac:dyDescent="0.3">
      <c r="B4">
        <v>3</v>
      </c>
      <c r="C4" t="s">
        <v>276</v>
      </c>
      <c r="D4" s="95" t="s">
        <v>277</v>
      </c>
    </row>
    <row r="5" spans="2:4" x14ac:dyDescent="0.3">
      <c r="B5">
        <v>4</v>
      </c>
      <c r="C5" t="s">
        <v>278</v>
      </c>
      <c r="D5" s="95" t="s">
        <v>279</v>
      </c>
    </row>
    <row r="6" spans="2:4" x14ac:dyDescent="0.3">
      <c r="B6">
        <v>5</v>
      </c>
      <c r="C6" t="s">
        <v>280</v>
      </c>
      <c r="D6" s="95" t="s">
        <v>281</v>
      </c>
    </row>
    <row r="7" spans="2:4" x14ac:dyDescent="0.3">
      <c r="B7">
        <v>6</v>
      </c>
      <c r="C7" t="s">
        <v>282</v>
      </c>
      <c r="D7" s="95" t="s">
        <v>283</v>
      </c>
    </row>
    <row r="8" spans="2:4" x14ac:dyDescent="0.3">
      <c r="B8">
        <v>7</v>
      </c>
      <c r="C8" t="s">
        <v>284</v>
      </c>
      <c r="D8" s="95" t="s">
        <v>285</v>
      </c>
    </row>
    <row r="9" spans="2:4" x14ac:dyDescent="0.3">
      <c r="B9">
        <v>8</v>
      </c>
      <c r="C9" t="s">
        <v>286</v>
      </c>
      <c r="D9" s="95" t="s">
        <v>287</v>
      </c>
    </row>
    <row r="10" spans="2:4" x14ac:dyDescent="0.3">
      <c r="B10">
        <v>9</v>
      </c>
      <c r="C10" t="s">
        <v>288</v>
      </c>
      <c r="D10" s="95" t="s">
        <v>289</v>
      </c>
    </row>
    <row r="11" spans="2:4" x14ac:dyDescent="0.3">
      <c r="B11">
        <v>10</v>
      </c>
      <c r="C11" t="s">
        <v>290</v>
      </c>
      <c r="D11" s="95" t="s">
        <v>291</v>
      </c>
    </row>
  </sheetData>
  <hyperlinks>
    <hyperlink ref="D2" r:id="rId1" xr:uid="{13A924F8-1718-409C-9477-E9DCE96F033D}"/>
    <hyperlink ref="D3" r:id="rId2" xr:uid="{123A8E7D-D6BE-499D-AF0E-33F3175DD57D}"/>
    <hyperlink ref="D4" r:id="rId3" xr:uid="{31C12E82-2D22-4BF7-B304-5F35529870BB}"/>
    <hyperlink ref="D5" r:id="rId4" xr:uid="{6712489E-B25A-4D84-9170-79851570945E}"/>
    <hyperlink ref="D6" r:id="rId5" xr:uid="{A5DE8ADE-19A8-4D59-888D-C5FFDE827A90}"/>
    <hyperlink ref="D7" r:id="rId6" xr:uid="{9297A45D-91BE-4EE4-ACC8-949D8E2F721F}"/>
    <hyperlink ref="D8" r:id="rId7" xr:uid="{4CF5E370-4DF0-47B1-B3E1-BE82A33361CD}"/>
    <hyperlink ref="D9" r:id="rId8" xr:uid="{FEDF30F5-BD48-4996-9676-D913FCFFE90A}"/>
    <hyperlink ref="D10" r:id="rId9" xr:uid="{7A2D40CC-584F-460C-8A49-D3CA66026C5E}"/>
    <hyperlink ref="D11" r:id="rId10" xr:uid="{77D5F62D-AABF-47FE-A53E-1E52270151EF}"/>
  </hyperlinks>
  <pageMargins left="0.7" right="0.7" top="0.75" bottom="0.75" header="0.3" footer="0.3"/>
  <tableParts count="1">
    <tablePart r:id="rId1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50808-9CC6-4178-8585-B28AC44A9127}">
  <sheetPr codeName="Sheet13"/>
  <dimension ref="B1:L1"/>
  <sheetViews>
    <sheetView zoomScale="61" zoomScaleNormal="80" workbookViewId="0">
      <selection activeCell="K2" sqref="K2:L63"/>
    </sheetView>
  </sheetViews>
  <sheetFormatPr defaultRowHeight="14.4" x14ac:dyDescent="0.3"/>
  <cols>
    <col min="3" max="3" width="55" bestFit="1" customWidth="1"/>
    <col min="6" max="6" width="65.77734375" bestFit="1" customWidth="1"/>
    <col min="9" max="9" width="93" bestFit="1" customWidth="1"/>
    <col min="12" max="12" width="41.5546875" bestFit="1" customWidth="1"/>
  </cols>
  <sheetData>
    <row r="1" spans="2:12" x14ac:dyDescent="0.3">
      <c r="B1" t="s">
        <v>13</v>
      </c>
      <c r="C1" t="s">
        <v>171</v>
      </c>
      <c r="E1" t="s">
        <v>13</v>
      </c>
      <c r="F1" t="s">
        <v>133</v>
      </c>
      <c r="H1" t="s">
        <v>13</v>
      </c>
      <c r="I1" t="s">
        <v>134</v>
      </c>
      <c r="K1" t="s">
        <v>13</v>
      </c>
      <c r="L1" t="s">
        <v>136</v>
      </c>
    </row>
  </sheetData>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D60BE-ADCD-4C19-ADCC-DF28245C7CDE}">
  <sheetPr codeName="Sheet14"/>
  <dimension ref="B2:C34"/>
  <sheetViews>
    <sheetView zoomScale="70" zoomScaleNormal="70" workbookViewId="0">
      <selection activeCell="C10" sqref="C10"/>
    </sheetView>
  </sheetViews>
  <sheetFormatPr defaultRowHeight="14.4" x14ac:dyDescent="0.3"/>
  <cols>
    <col min="2" max="2" width="37.88671875" bestFit="1" customWidth="1"/>
    <col min="3" max="3" width="109.77734375" style="63" customWidth="1"/>
    <col min="7" max="7" width="29.33203125" bestFit="1" customWidth="1"/>
  </cols>
  <sheetData>
    <row r="2" spans="2:3" x14ac:dyDescent="0.3">
      <c r="B2" s="68" t="s">
        <v>72</v>
      </c>
      <c r="C2" s="71" t="s">
        <v>11</v>
      </c>
    </row>
    <row r="3" spans="2:3" x14ac:dyDescent="0.3">
      <c r="B3" s="66" t="s">
        <v>168</v>
      </c>
      <c r="C3" s="69"/>
    </row>
    <row r="4" spans="2:3" x14ac:dyDescent="0.3">
      <c r="B4" s="66" t="s">
        <v>137</v>
      </c>
      <c r="C4" s="69"/>
    </row>
    <row r="5" spans="2:3" x14ac:dyDescent="0.3">
      <c r="B5" s="66" t="s">
        <v>138</v>
      </c>
      <c r="C5" s="69"/>
    </row>
    <row r="6" spans="2:3" x14ac:dyDescent="0.3">
      <c r="B6" s="66" t="s">
        <v>139</v>
      </c>
      <c r="C6" s="70" t="s">
        <v>93</v>
      </c>
    </row>
    <row r="7" spans="2:3" x14ac:dyDescent="0.3">
      <c r="B7" s="66" t="s">
        <v>140</v>
      </c>
      <c r="C7" s="69"/>
    </row>
    <row r="8" spans="2:3" x14ac:dyDescent="0.3">
      <c r="B8" s="66" t="s">
        <v>141</v>
      </c>
      <c r="C8" s="63" t="s">
        <v>49</v>
      </c>
    </row>
    <row r="9" spans="2:3" x14ac:dyDescent="0.3">
      <c r="B9" s="66" t="s">
        <v>142</v>
      </c>
    </row>
    <row r="10" spans="2:3" ht="28.8" x14ac:dyDescent="0.3">
      <c r="B10" s="67" t="s">
        <v>143</v>
      </c>
      <c r="C10" s="63" t="s">
        <v>51</v>
      </c>
    </row>
    <row r="11" spans="2:3" x14ac:dyDescent="0.3">
      <c r="B11" s="66" t="s">
        <v>144</v>
      </c>
      <c r="C11" s="69"/>
    </row>
    <row r="12" spans="2:3" x14ac:dyDescent="0.3">
      <c r="B12" s="66" t="s">
        <v>145</v>
      </c>
      <c r="C12" t="s">
        <v>17</v>
      </c>
    </row>
    <row r="13" spans="2:3" x14ac:dyDescent="0.3">
      <c r="B13" s="66" t="s">
        <v>146</v>
      </c>
      <c r="C13"/>
    </row>
    <row r="14" spans="2:3" x14ac:dyDescent="0.3">
      <c r="B14" s="66" t="s">
        <v>147</v>
      </c>
      <c r="C14" t="s">
        <v>19</v>
      </c>
    </row>
    <row r="15" spans="2:3" x14ac:dyDescent="0.3">
      <c r="B15" s="66" t="s">
        <v>148</v>
      </c>
      <c r="C15" s="69"/>
    </row>
    <row r="16" spans="2:3" x14ac:dyDescent="0.3">
      <c r="B16" s="66" t="s">
        <v>149</v>
      </c>
      <c r="C16" t="s">
        <v>30</v>
      </c>
    </row>
    <row r="17" spans="2:3" x14ac:dyDescent="0.3">
      <c r="B17" s="66" t="s">
        <v>150</v>
      </c>
    </row>
    <row r="18" spans="2:3" ht="43.2" x14ac:dyDescent="0.3">
      <c r="B18" s="66" t="s">
        <v>151</v>
      </c>
      <c r="C18" s="63" t="s">
        <v>34</v>
      </c>
    </row>
    <row r="19" spans="2:3" x14ac:dyDescent="0.3">
      <c r="B19" s="66" t="s">
        <v>152</v>
      </c>
      <c r="C19" s="69"/>
    </row>
    <row r="20" spans="2:3" x14ac:dyDescent="0.3">
      <c r="B20" s="66" t="s">
        <v>153</v>
      </c>
      <c r="C20" t="s">
        <v>73</v>
      </c>
    </row>
    <row r="21" spans="2:3" x14ac:dyDescent="0.3">
      <c r="B21" s="66" t="s">
        <v>154</v>
      </c>
      <c r="C21" s="69"/>
    </row>
    <row r="22" spans="2:3" ht="28.8" x14ac:dyDescent="0.3">
      <c r="B22" s="66" t="s">
        <v>155</v>
      </c>
      <c r="C22" s="70" t="s">
        <v>94</v>
      </c>
    </row>
    <row r="23" spans="2:3" x14ac:dyDescent="0.3">
      <c r="B23" s="66" t="s">
        <v>156</v>
      </c>
      <c r="C23" s="69" t="s">
        <v>169</v>
      </c>
    </row>
    <row r="24" spans="2:3" x14ac:dyDescent="0.3">
      <c r="B24" s="66" t="s">
        <v>157</v>
      </c>
      <c r="C24" s="69"/>
    </row>
    <row r="25" spans="2:3" x14ac:dyDescent="0.3">
      <c r="B25" s="66" t="s">
        <v>158</v>
      </c>
      <c r="C25" s="70" t="s">
        <v>105</v>
      </c>
    </row>
    <row r="26" spans="2:3" x14ac:dyDescent="0.3">
      <c r="B26" s="66" t="s">
        <v>159</v>
      </c>
      <c r="C26" s="70" t="s">
        <v>109</v>
      </c>
    </row>
    <row r="27" spans="2:3" x14ac:dyDescent="0.3">
      <c r="B27" s="66" t="s">
        <v>160</v>
      </c>
      <c r="C27" s="69"/>
    </row>
    <row r="28" spans="2:3" x14ac:dyDescent="0.3">
      <c r="B28" s="66" t="s">
        <v>161</v>
      </c>
      <c r="C28" s="69"/>
    </row>
    <row r="29" spans="2:3" x14ac:dyDescent="0.3">
      <c r="B29" s="66" t="s">
        <v>162</v>
      </c>
      <c r="C29" s="69"/>
    </row>
    <row r="30" spans="2:3" x14ac:dyDescent="0.3">
      <c r="B30" s="66" t="s">
        <v>163</v>
      </c>
      <c r="C30" s="69"/>
    </row>
    <row r="31" spans="2:3" x14ac:dyDescent="0.3">
      <c r="B31" s="66" t="s">
        <v>164</v>
      </c>
      <c r="C31" s="69"/>
    </row>
    <row r="32" spans="2:3" x14ac:dyDescent="0.3">
      <c r="B32" s="66" t="s">
        <v>165</v>
      </c>
      <c r="C32" s="69"/>
    </row>
    <row r="33" spans="2:3" x14ac:dyDescent="0.3">
      <c r="B33" s="66" t="s">
        <v>166</v>
      </c>
      <c r="C33" s="69"/>
    </row>
    <row r="34" spans="2:3" x14ac:dyDescent="0.3">
      <c r="B34" s="66" t="s">
        <v>167</v>
      </c>
      <c r="C34" s="69"/>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7F44A7A1-C6C3-4F0E-BED9-00DAD6F19956}">
          <x14:formula1>
            <xm:f>'1. L1 Data Domains'!$C$2:$C$2</xm:f>
          </x14:formula1>
          <xm:sqref>B9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76C22-6744-49AB-822A-9903687B7273}">
  <sheetPr codeName="Sheet15"/>
  <dimension ref="B1:Q11"/>
  <sheetViews>
    <sheetView tabSelected="1" zoomScale="90" zoomScaleNormal="90" workbookViewId="0">
      <selection activeCell="H24" sqref="H24"/>
    </sheetView>
  </sheetViews>
  <sheetFormatPr defaultRowHeight="14.4" x14ac:dyDescent="0.3"/>
  <cols>
    <col min="2" max="2" width="15.21875" style="31" customWidth="1"/>
    <col min="3" max="3" width="20.88671875" style="31" bestFit="1" customWidth="1"/>
    <col min="4" max="4" width="20.44140625" style="33" customWidth="1"/>
    <col min="5" max="5" width="66.6640625" style="31" customWidth="1"/>
    <col min="6" max="6" width="47.88671875" style="31" bestFit="1" customWidth="1"/>
    <col min="7" max="7" width="76" style="31" bestFit="1" customWidth="1"/>
    <col min="8" max="8" width="60.109375" style="31" bestFit="1" customWidth="1"/>
    <col min="9" max="9" width="17.109375" style="31" customWidth="1"/>
    <col min="10" max="10" width="13.21875" style="31" customWidth="1"/>
    <col min="11" max="11" width="20.6640625" style="31" customWidth="1"/>
    <col min="12" max="12" width="61.21875" style="31" bestFit="1" customWidth="1"/>
    <col min="13" max="13" width="84.21875" style="31" bestFit="1" customWidth="1"/>
    <col min="14" max="15" width="15.109375" style="31" hidden="1" customWidth="1"/>
    <col min="16" max="16" width="29.21875" style="32" bestFit="1" customWidth="1"/>
    <col min="17" max="17" width="22.33203125" style="31" bestFit="1" customWidth="1"/>
  </cols>
  <sheetData>
    <row r="1" spans="2:17" x14ac:dyDescent="0.3">
      <c r="B1" t="s">
        <v>13</v>
      </c>
      <c r="C1" t="s">
        <v>66</v>
      </c>
      <c r="D1" s="31" t="s">
        <v>188</v>
      </c>
      <c r="E1" t="s">
        <v>185</v>
      </c>
      <c r="F1" s="31" t="s">
        <v>186</v>
      </c>
      <c r="G1" s="31" t="s">
        <v>187</v>
      </c>
      <c r="H1" s="31" t="s">
        <v>189</v>
      </c>
      <c r="I1" s="31" t="s">
        <v>190</v>
      </c>
      <c r="J1" s="31" t="s">
        <v>191</v>
      </c>
      <c r="K1" s="31" t="s">
        <v>192</v>
      </c>
      <c r="L1" s="31" t="s">
        <v>321</v>
      </c>
      <c r="M1" s="31" t="s">
        <v>193</v>
      </c>
      <c r="N1" s="31" t="s">
        <v>194</v>
      </c>
      <c r="O1" s="31" t="s">
        <v>195</v>
      </c>
      <c r="P1" t="s">
        <v>21</v>
      </c>
      <c r="Q1" t="s">
        <v>322</v>
      </c>
    </row>
    <row r="2" spans="2:17" x14ac:dyDescent="0.3">
      <c r="B2">
        <v>1</v>
      </c>
      <c r="C2" t="s">
        <v>175</v>
      </c>
      <c r="D2" s="33" t="str">
        <f>SUBSTITUTE(SUBSTITUTE(SUBSTITUTE(SUBSTITUTE(LOWER(C2),"&amp;",""),"-",""),"  ","-")," ","-")</f>
        <v>nodered</v>
      </c>
      <c r="E2" t="s">
        <v>241</v>
      </c>
      <c r="F2" s="33" t="str">
        <f>SUBSTITUTE(SUBSTITUTE(SUBSTITUTE(LOWER(E2),"&amp;",""),"  ","-")," ","-")</f>
        <v>sensor-data-processing</v>
      </c>
      <c r="G2" s="33" t="str">
        <f>Table416[[#This Row],[System Intermediate Qualified Name]]&amp;"--"&amp;Table416[[#This Row],[Process Intermediate Qualified Name]]</f>
        <v>nodered--sensor-data-processing</v>
      </c>
      <c r="H2" s="31" t="s">
        <v>328</v>
      </c>
      <c r="I2" s="33"/>
      <c r="J2" s="33"/>
      <c r="K2" s="33"/>
      <c r="L2" s="31" t="s">
        <v>329</v>
      </c>
      <c r="M2" s="33"/>
      <c r="N2" s="33"/>
      <c r="O2" s="33"/>
      <c r="Q2"/>
    </row>
    <row r="3" spans="2:17" x14ac:dyDescent="0.3">
      <c r="B3">
        <v>2</v>
      </c>
      <c r="C3" t="s">
        <v>173</v>
      </c>
      <c r="D3" s="33" t="str">
        <f>SUBSTITUTE(SUBSTITUTE(SUBSTITUTE(SUBSTITUTE(LOWER(C3),"&amp;",""),"-",""),"  ","-")," ","-")</f>
        <v>kafka-broker</v>
      </c>
      <c r="E3" t="s">
        <v>253</v>
      </c>
      <c r="F3" s="33" t="str">
        <f t="shared" ref="F3:F6" si="0">SUBSTITUTE(SUBSTITUTE(SUBSTITUTE(LOWER(E3),"&amp;",""),"  ","-")," ","-")</f>
        <v>data-ingestion</v>
      </c>
      <c r="G3" s="33" t="str">
        <f>Table416[[#This Row],[System Intermediate Qualified Name]]&amp;"--"&amp;Table416[[#This Row],[Process Intermediate Qualified Name]]</f>
        <v>kafka-broker--data-ingestion</v>
      </c>
      <c r="H3" s="31" t="s">
        <v>329</v>
      </c>
      <c r="I3" s="33"/>
      <c r="J3" s="33"/>
      <c r="K3" s="33"/>
      <c r="L3" s="31" t="s">
        <v>330</v>
      </c>
      <c r="M3" s="33"/>
      <c r="N3" s="33"/>
      <c r="O3" s="33"/>
    </row>
    <row r="4" spans="2:17" x14ac:dyDescent="0.3">
      <c r="B4">
        <v>3</v>
      </c>
      <c r="C4" t="s">
        <v>174</v>
      </c>
      <c r="D4" s="33" t="str">
        <f t="shared" ref="D4:D6" si="1">SUBSTITUTE(SUBSTITUTE(SUBSTITUTE(SUBSTITUTE(LOWER(C4),"&amp;",""),"-",""),"  ","-")," ","-")</f>
        <v>ksql-server</v>
      </c>
      <c r="E4" t="s">
        <v>254</v>
      </c>
      <c r="F4" s="33" t="str">
        <f t="shared" si="0"/>
        <v>data-transformation</v>
      </c>
      <c r="G4" s="33" t="str">
        <f>Table416[[#This Row],[System Intermediate Qualified Name]]&amp;"--"&amp;Table416[[#This Row],[Process Intermediate Qualified Name]]</f>
        <v>ksql-server--data-transformation</v>
      </c>
      <c r="H4" s="31" t="s">
        <v>330</v>
      </c>
      <c r="I4" s="33"/>
      <c r="J4" s="33"/>
      <c r="K4" s="33"/>
      <c r="L4" s="31" t="s">
        <v>331</v>
      </c>
      <c r="M4" s="33"/>
      <c r="N4" s="33"/>
      <c r="O4" s="33"/>
      <c r="Q4"/>
    </row>
    <row r="5" spans="2:17" x14ac:dyDescent="0.3">
      <c r="B5">
        <v>4</v>
      </c>
      <c r="C5" t="s">
        <v>246</v>
      </c>
      <c r="D5" s="33" t="str">
        <f t="shared" si="1"/>
        <v>telegraf</v>
      </c>
      <c r="E5" t="s">
        <v>255</v>
      </c>
      <c r="F5" s="33" t="str">
        <f t="shared" si="0"/>
        <v>data-transfer</v>
      </c>
      <c r="G5" s="33" t="str">
        <f>Table416[[#This Row],[System Intermediate Qualified Name]]&amp;"--"&amp;Table416[[#This Row],[Process Intermediate Qualified Name]]</f>
        <v>telegraf--data-transfer</v>
      </c>
      <c r="H5" s="31" t="s">
        <v>331</v>
      </c>
      <c r="I5" s="33"/>
      <c r="J5" s="33"/>
      <c r="K5" s="33"/>
      <c r="L5" s="31" t="s">
        <v>332</v>
      </c>
      <c r="M5" s="33"/>
      <c r="N5" s="33"/>
      <c r="O5" s="33"/>
      <c r="Q5"/>
    </row>
    <row r="6" spans="2:17" x14ac:dyDescent="0.3">
      <c r="B6">
        <v>5</v>
      </c>
      <c r="C6" t="s">
        <v>249</v>
      </c>
      <c r="D6" s="33" t="str">
        <f t="shared" si="1"/>
        <v>influxdb</v>
      </c>
      <c r="E6" t="s">
        <v>256</v>
      </c>
      <c r="F6" s="33" t="str">
        <f t="shared" si="0"/>
        <v>timeseries-data-storage</v>
      </c>
      <c r="G6" s="33" t="str">
        <f>Table416[[#This Row],[System Intermediate Qualified Name]]&amp;"--"&amp;Table416[[#This Row],[Process Intermediate Qualified Name]]</f>
        <v>influxdb--timeseries-data-storage</v>
      </c>
      <c r="H6" s="31" t="s">
        <v>332</v>
      </c>
      <c r="I6" s="33"/>
      <c r="J6" s="33"/>
      <c r="K6" s="33"/>
      <c r="L6" s="31" t="s">
        <v>333</v>
      </c>
      <c r="M6" s="33"/>
      <c r="N6" s="33"/>
      <c r="O6" s="33"/>
      <c r="Q6"/>
    </row>
    <row r="7" spans="2:17" x14ac:dyDescent="0.3">
      <c r="B7"/>
      <c r="C7"/>
      <c r="E7"/>
      <c r="F7" s="33"/>
      <c r="G7" s="33"/>
      <c r="H7" s="33"/>
      <c r="I7" s="33"/>
      <c r="J7" s="33"/>
      <c r="K7" s="33"/>
      <c r="L7" s="33"/>
      <c r="M7" s="33"/>
      <c r="N7" s="33"/>
      <c r="O7" s="33"/>
      <c r="P7"/>
      <c r="Q7"/>
    </row>
    <row r="8" spans="2:17" x14ac:dyDescent="0.3">
      <c r="B8"/>
      <c r="C8"/>
      <c r="E8"/>
      <c r="F8" s="33"/>
      <c r="G8" s="33"/>
      <c r="H8" s="33"/>
      <c r="I8" s="33"/>
      <c r="J8" s="33"/>
      <c r="K8" s="33"/>
      <c r="L8" s="33"/>
      <c r="M8" s="33"/>
      <c r="N8" s="33"/>
      <c r="O8" s="33"/>
      <c r="P8"/>
      <c r="Q8"/>
    </row>
    <row r="9" spans="2:17" x14ac:dyDescent="0.3">
      <c r="B9"/>
      <c r="C9"/>
      <c r="E9"/>
      <c r="F9" s="33"/>
      <c r="G9" s="33"/>
      <c r="H9" s="33"/>
      <c r="I9" s="33"/>
      <c r="J9" s="33"/>
      <c r="K9" s="33"/>
      <c r="L9" s="33"/>
      <c r="M9" s="33"/>
      <c r="N9" s="33"/>
      <c r="O9" s="33"/>
      <c r="P9"/>
      <c r="Q9"/>
    </row>
    <row r="10" spans="2:17" x14ac:dyDescent="0.3">
      <c r="B10"/>
      <c r="C10"/>
      <c r="E10"/>
      <c r="F10" s="33"/>
      <c r="G10" s="33"/>
      <c r="H10" s="33"/>
      <c r="I10" s="33"/>
      <c r="J10" s="33"/>
      <c r="K10" s="33"/>
      <c r="L10" s="33"/>
      <c r="M10" s="33"/>
      <c r="N10" s="33"/>
      <c r="O10" s="33"/>
      <c r="P10"/>
      <c r="Q10"/>
    </row>
    <row r="11" spans="2:17" x14ac:dyDescent="0.3">
      <c r="B11"/>
      <c r="C11"/>
      <c r="E11"/>
      <c r="F11" s="33"/>
      <c r="G11" s="33"/>
      <c r="H11" s="33"/>
      <c r="I11" s="33"/>
      <c r="J11" s="33"/>
      <c r="K11" s="33"/>
      <c r="L11" s="33"/>
      <c r="M11" s="33"/>
      <c r="N11" s="33"/>
      <c r="O11" s="33"/>
      <c r="P11"/>
      <c r="Q11"/>
    </row>
  </sheetData>
  <phoneticPr fontId="3" type="noConversion"/>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886CF44-BF2A-4D2D-AC93-C34B20A6C1BB}">
          <x14:formula1>
            <xm:f>'4. L4 Fields'!$K:$K</xm:f>
          </x14:formula1>
          <xm:sqref>I1:K1048576 M1:O1048576 H1 H7:H1048576</xm:sqref>
        </x14:dataValidation>
        <x14:dataValidation type="list" allowBlank="1" showInputMessage="1" showErrorMessage="1" xr:uid="{6D54FF9D-F337-49FA-A896-2BBCE423FBB8}">
          <x14:formula1>
            <xm:f>'7. Define sys, collect. &amp; datas'!$B:$B</xm:f>
          </x14:formula1>
          <xm:sqref>C2:C1048576</xm:sqref>
        </x14:dataValidation>
        <x14:dataValidation type="list" allowBlank="1" showInputMessage="1" showErrorMessage="1" xr:uid="{5AC1129C-E6C1-4C50-BBCF-4335189C68A5}">
          <x14:formula1>
            <xm:f>'4. L4 Fields'!$K:$K</xm:f>
          </x14:formula1>
          <xm:sqref>L1 L7:L1048576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Version xmlns="http://schemas.microsoft.com/sharepoint/v3/fields" xsi:nil="true"/>
    <lcf76f155ced4ddcb4097134ff3c332f xmlns="95a2761b-6bae-4427-bd46-7452e4749e80">
      <Terms xmlns="http://schemas.microsoft.com/office/infopath/2007/PartnerControls"/>
    </lcf76f155ced4ddcb4097134ff3c332f>
    <DateandTime xmlns="95a2761b-6bae-4427-bd46-7452e4749e80" xsi:nil="true"/>
    <_Flow_SignoffStatus xmlns="95a2761b-6bae-4427-bd46-7452e4749e80" xsi:nil="true"/>
    <Thumbnail xmlns="95a2761b-6bae-4427-bd46-7452e4749e80" xsi:nil="true"/>
    <TaxCatchAll xmlns="495e38a1-0c24-42a5-986a-c99f97b8ff82" xsi:nil="true"/>
    <Date xmlns="95a2761b-6bae-4427-bd46-7452e4749e80">2023-04-07T13:52:21+00:00</Date>
    <_dlc_DocId xmlns="495e38a1-0c24-42a5-986a-c99f97b8ff82">S7HYFVCAMCHH-1067288026-5953666</_dlc_DocId>
    <_dlc_DocIdUrl xmlns="495e38a1-0c24-42a5-986a-c99f97b8ff82">
      <Url>https://meyn.sharepoint.com/teams/innovation/_layouts/15/DocIdRedir.aspx?ID=S7HYFVCAMCHH-1067288026-5953666</Url>
      <Description>S7HYFVCAMCHH-1067288026-5953666</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937287B1E35314EBCD3663A462D7D81" ma:contentTypeVersion="25" ma:contentTypeDescription="Create a new document." ma:contentTypeScope="" ma:versionID="8948ce3b20184fe7a6ac8276c6cab809">
  <xsd:schema xmlns:xsd="http://www.w3.org/2001/XMLSchema" xmlns:xs="http://www.w3.org/2001/XMLSchema" xmlns:p="http://schemas.microsoft.com/office/2006/metadata/properties" xmlns:ns2="95a2761b-6bae-4427-bd46-7452e4749e80" xmlns:ns3="495e38a1-0c24-42a5-986a-c99f97b8ff82" xmlns:ns4="http://schemas.microsoft.com/sharepoint/v3/fields" targetNamespace="http://schemas.microsoft.com/office/2006/metadata/properties" ma:root="true" ma:fieldsID="b80d23fc610cd68fe89bc4c9d0baaef3" ns2:_="" ns3:_="" ns4:_="">
    <xsd:import namespace="95a2761b-6bae-4427-bd46-7452e4749e80"/>
    <xsd:import namespace="495e38a1-0c24-42a5-986a-c99f97b8ff82"/>
    <xsd:import namespace="http://schemas.microsoft.com/sharepoint/v3/fields"/>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2:MediaServiceLocation" minOccurs="0"/>
                <xsd:element ref="ns2:Thumbnail" minOccurs="0"/>
                <xsd:element ref="ns2:Date" minOccurs="0"/>
                <xsd:element ref="ns3:_dlc_DocId" minOccurs="0"/>
                <xsd:element ref="ns3:_dlc_DocIdUrl" minOccurs="0"/>
                <xsd:element ref="ns3:_dlc_DocIdPersistId" minOccurs="0"/>
                <xsd:element ref="ns2:MediaLengthInSeconds" minOccurs="0"/>
                <xsd:element ref="ns2:_Flow_SignoffStatus" minOccurs="0"/>
                <xsd:element ref="ns2:lcf76f155ced4ddcb4097134ff3c332f" minOccurs="0"/>
                <xsd:element ref="ns3:TaxCatchAll" minOccurs="0"/>
                <xsd:element ref="ns2:DateandTime" minOccurs="0"/>
                <xsd:element ref="ns4: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a2761b-6bae-4427-bd46-7452e4749e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Thumbnail" ma:index="20" nillable="true" ma:displayName="Thumbnail" ma:format="Dropdown" ma:internalName="Thumbnail">
      <xsd:simpleType>
        <xsd:restriction base="dms:Text">
          <xsd:maxLength value="255"/>
        </xsd:restriction>
      </xsd:simpleType>
    </xsd:element>
    <xsd:element name="Date" ma:index="21" nillable="true" ma:displayName="Date" ma:default="[today]" ma:format="DateTime" ma:internalName="Date">
      <xsd:simpleType>
        <xsd:restriction base="dms:DateTime"/>
      </xsd:simpleType>
    </xsd:element>
    <xsd:element name="MediaLengthInSeconds" ma:index="25" nillable="true" ma:displayName="Length (seconds)" ma:internalName="MediaLengthInSeconds" ma:readOnly="true">
      <xsd:simpleType>
        <xsd:restriction base="dms:Unknown"/>
      </xsd:simpleType>
    </xsd:element>
    <xsd:element name="_Flow_SignoffStatus" ma:index="26" nillable="true" ma:displayName="Sign-off status" ma:internalName="Sign_x002d_off_x0020_status">
      <xsd:simpleType>
        <xsd:restriction base="dms:Text"/>
      </xsd:simpleType>
    </xsd:element>
    <xsd:element name="lcf76f155ced4ddcb4097134ff3c332f" ma:index="28" nillable="true" ma:taxonomy="true" ma:internalName="lcf76f155ced4ddcb4097134ff3c332f" ma:taxonomyFieldName="MediaServiceImageTags" ma:displayName="Image Tags" ma:readOnly="false" ma:fieldId="{5cf76f15-5ced-4ddc-b409-7134ff3c332f}" ma:taxonomyMulti="true" ma:sspId="a182fb04-b9eb-4821-92b6-a9629e2360a8" ma:termSetId="09814cd3-568e-fe90-9814-8d621ff8fb84" ma:anchorId="fba54fb3-c3e1-fe81-a776-ca4b69148c4d" ma:open="true" ma:isKeyword="false">
      <xsd:complexType>
        <xsd:sequence>
          <xsd:element ref="pc:Terms" minOccurs="0" maxOccurs="1"/>
        </xsd:sequence>
      </xsd:complexType>
    </xsd:element>
    <xsd:element name="DateandTime" ma:index="30" nillable="true" ma:displayName="Date and Time" ma:format="DateOnly" ma:internalName="DateandTim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95e38a1-0c24-42a5-986a-c99f97b8ff8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_dlc_DocId" ma:index="22" nillable="true" ma:displayName="Document ID Value" ma:description="The value of the document ID assigned to this item." ma:internalName="_dlc_DocId" ma:readOnly="true">
      <xsd:simpleType>
        <xsd:restriction base="dms:Text"/>
      </xsd:simpleType>
    </xsd:element>
    <xsd:element name="_dlc_DocIdUrl" ma:index="23"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4" nillable="true" ma:displayName="Persist ID" ma:description="Keep ID on add." ma:hidden="true" ma:internalName="_dlc_DocIdPersistId" ma:readOnly="true">
      <xsd:simpleType>
        <xsd:restriction base="dms:Boolean"/>
      </xsd:simpleType>
    </xsd:element>
    <xsd:element name="TaxCatchAll" ma:index="29" nillable="true" ma:displayName="Taxonomy Catch All Column" ma:hidden="true" ma:list="{7239f4e1-abeb-4203-95fd-838d7b86d8d5}" ma:internalName="TaxCatchAll" ma:showField="CatchAllData" ma:web="495e38a1-0c24-42a5-986a-c99f97b8ff8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31"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3B21C31-4FF4-4E25-9266-F0ABA776A1D1}">
  <ds:schemaRefs>
    <ds:schemaRef ds:uri="http://purl.org/dc/terms/"/>
    <ds:schemaRef ds:uri="95a2761b-6bae-4427-bd46-7452e4749e80"/>
    <ds:schemaRef ds:uri="http://schemas.microsoft.com/office/2006/documentManagement/types"/>
    <ds:schemaRef ds:uri="http://purl.org/dc/dcmitype/"/>
    <ds:schemaRef ds:uri="http://schemas.microsoft.com/office/infopath/2007/PartnerControls"/>
    <ds:schemaRef ds:uri="http://www.w3.org/XML/1998/namespace"/>
    <ds:schemaRef ds:uri="http://schemas.microsoft.com/office/2006/metadata/properties"/>
    <ds:schemaRef ds:uri="495e38a1-0c24-42a5-986a-c99f97b8ff82"/>
    <ds:schemaRef ds:uri="http://schemas.openxmlformats.org/package/2006/metadata/core-properties"/>
    <ds:schemaRef ds:uri="http://schemas.microsoft.com/sharepoint/v3/fields"/>
    <ds:schemaRef ds:uri="http://purl.org/dc/elements/1.1/"/>
  </ds:schemaRefs>
</ds:datastoreItem>
</file>

<file path=customXml/itemProps2.xml><?xml version="1.0" encoding="utf-8"?>
<ds:datastoreItem xmlns:ds="http://schemas.openxmlformats.org/officeDocument/2006/customXml" ds:itemID="{E070BCCC-1FAB-4272-85C9-5FBB0364E1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a2761b-6bae-4427-bd46-7452e4749e80"/>
    <ds:schemaRef ds:uri="495e38a1-0c24-42a5-986a-c99f97b8ff82"/>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3FAA992-2867-43AB-9E83-85D29FC27828}">
  <ds:schemaRefs>
    <ds:schemaRef ds:uri="http://schemas.microsoft.com/sharepoint/events"/>
  </ds:schemaRefs>
</ds:datastoreItem>
</file>

<file path=customXml/itemProps4.xml><?xml version="1.0" encoding="utf-8"?>
<ds:datastoreItem xmlns:ds="http://schemas.openxmlformats.org/officeDocument/2006/customXml" ds:itemID="{84A9C940-E29F-4C0C-A12B-338AFDA0998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4</vt:i4>
      </vt:variant>
    </vt:vector>
  </HeadingPairs>
  <TitlesOfParts>
    <vt:vector size="19" baseType="lpstr">
      <vt:lpstr>Cover</vt:lpstr>
      <vt:lpstr>Version Control</vt:lpstr>
      <vt:lpstr>Meta Model &amp; Glossary</vt:lpstr>
      <vt:lpstr>Conceptual Data Model</vt:lpstr>
      <vt:lpstr>1. L1 Data Domains</vt:lpstr>
      <vt:lpstr>2. L2 Data Entities</vt:lpstr>
      <vt:lpstr>3. L3 Data Attributes</vt:lpstr>
      <vt:lpstr>4. L4 Fields</vt:lpstr>
      <vt:lpstr>5. L5 Content Structure</vt:lpstr>
      <vt:lpstr>7. Define sys, collect. &amp; datas</vt:lpstr>
      <vt:lpstr>6. Data Quality Rulebook</vt:lpstr>
      <vt:lpstr>9. Person Table</vt:lpstr>
      <vt:lpstr>10. Maintenance</vt:lpstr>
      <vt:lpstr>11. Data Quality Glossary</vt:lpstr>
      <vt:lpstr>12. Process</vt:lpstr>
      <vt:lpstr>'12. Process'!Domain_name</vt:lpstr>
      <vt:lpstr>Domain_name</vt:lpstr>
      <vt:lpstr>'12. Process'!ID</vt:lpstr>
      <vt:lpstr>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Brug G.H.W. van (Wietse)</dc:creator>
  <cp:keywords/>
  <dc:description/>
  <cp:lastModifiedBy>Lorand Vatamany</cp:lastModifiedBy>
  <cp:revision/>
  <dcterms:created xsi:type="dcterms:W3CDTF">2015-06-05T18:17:20Z</dcterms:created>
  <dcterms:modified xsi:type="dcterms:W3CDTF">2024-11-07T09:29:01Z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0x0101006937287B1E35314EBCD3663A462D7D81</vt:lpwstr>
  </property>
  <property fmtid="{D5CDD505-2E9C-101B-9397-08002B2CF9AE}" pid="3" name="_dlc_DocIdItemGuid">
    <vt:lpwstr>5499e32c-8031-4dfe-9ba5-9477fa2bdb4f</vt:lpwstr>
  </property>
  <property fmtid="{D5CDD505-2E9C-101B-9397-08002B2CF9AE}" pid="4" name="MediaServiceImageTags">
    <vt:lpwstr/>
  </property>
</Properties>
</file>