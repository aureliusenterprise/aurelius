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LorandVatamany\Downloads\"/>
    </mc:Choice>
  </mc:AlternateContent>
  <xr:revisionPtr revIDLastSave="0" documentId="13_ncr:1_{EAF99166-BB67-43E1-B523-3F86F572FB28}" xr6:coauthVersionLast="47" xr6:coauthVersionMax="47" xr10:uidLastSave="{00000000-0000-0000-0000-000000000000}"/>
  <bookViews>
    <workbookView xWindow="-25320" yWindow="-120" windowWidth="25440" windowHeight="15270" tabRatio="808" activeTab="6"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3. L3 Data Attributes" sheetId="3" r:id="rId7"/>
    <sheet name="4. L4 Fields" sheetId="9" r:id="rId8"/>
    <sheet name="5. L5 Content Structure" sheetId="15" r:id="rId9"/>
    <sheet name="7. Define sys, collect. &amp; datas" sheetId="10" r:id="rId10"/>
    <sheet name="6. Data Quality Rulebook" sheetId="11" r:id="rId11"/>
    <sheet name="9. Person Table" sheetId="16" r:id="rId12"/>
    <sheet name="10. Maintenance" sheetId="19" r:id="rId13"/>
    <sheet name="11. Data Quality Glossary" sheetId="22" r:id="rId14"/>
    <sheet name="12. Process" sheetId="26" r:id="rId15"/>
  </sheets>
  <definedNames>
    <definedName name="Domain_name" localSheetId="14">Table2[Domain name]</definedName>
    <definedName name="Domain_name">Table2[Domain name]</definedName>
    <definedName name="ID" localSheetId="14">Table2[[#Headers],[ID]]</definedName>
    <definedName name="ID">Table2[[#Headers],[ID]]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9" l="1"/>
  <c r="N4" i="9"/>
  <c r="N6" i="9"/>
  <c r="N8"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2" i="9"/>
  <c r="F22" i="3" l="1"/>
  <c r="G22" i="3" s="1"/>
  <c r="H22" i="3" s="1"/>
  <c r="F21" i="3"/>
  <c r="G21" i="3" s="1"/>
  <c r="H21" i="3" s="1"/>
  <c r="F20" i="3"/>
  <c r="G20" i="3" s="1"/>
  <c r="H20" i="3" s="1"/>
  <c r="D2" i="2" l="1"/>
  <c r="D3" i="2"/>
  <c r="D4" i="2"/>
  <c r="D5" i="2"/>
  <c r="D6" i="2"/>
  <c r="D4" i="1"/>
  <c r="D3" i="1"/>
  <c r="G2" i="2"/>
  <c r="D4" i="26"/>
  <c r="D5" i="26"/>
  <c r="D6" i="26"/>
  <c r="F3" i="26"/>
  <c r="F4" i="26"/>
  <c r="F5" i="26"/>
  <c r="F6" i="26"/>
  <c r="F2" i="26"/>
  <c r="F19" i="3"/>
  <c r="G19" i="3" s="1"/>
  <c r="H19" i="3" s="1"/>
  <c r="F18" i="3"/>
  <c r="G18" i="3" s="1"/>
  <c r="H18" i="3" s="1"/>
  <c r="D2" i="26"/>
  <c r="D3" i="26"/>
  <c r="F54" i="9"/>
  <c r="H54" i="9"/>
  <c r="J54" i="9"/>
  <c r="M54" i="9"/>
  <c r="F53" i="9"/>
  <c r="H53" i="9"/>
  <c r="J53" i="9"/>
  <c r="M53" i="9"/>
  <c r="F52" i="9"/>
  <c r="H52" i="9"/>
  <c r="J52" i="9"/>
  <c r="M52" i="9"/>
  <c r="F51" i="9"/>
  <c r="H51" i="9"/>
  <c r="J51" i="9"/>
  <c r="M51" i="9"/>
  <c r="F50" i="9"/>
  <c r="H50" i="9"/>
  <c r="J50" i="9"/>
  <c r="M50" i="9"/>
  <c r="F49" i="9"/>
  <c r="H49" i="9"/>
  <c r="J49" i="9"/>
  <c r="M49" i="9"/>
  <c r="F48" i="9"/>
  <c r="H48" i="9"/>
  <c r="J48" i="9"/>
  <c r="M48" i="9"/>
  <c r="F47" i="9"/>
  <c r="H47" i="9"/>
  <c r="J47" i="9"/>
  <c r="M47" i="9"/>
  <c r="F46" i="9"/>
  <c r="H46" i="9"/>
  <c r="J46" i="9"/>
  <c r="M46" i="9"/>
  <c r="J44" i="9"/>
  <c r="H44" i="9"/>
  <c r="F44" i="9"/>
  <c r="J43" i="9"/>
  <c r="H43" i="9"/>
  <c r="F43" i="9"/>
  <c r="J42" i="9"/>
  <c r="H42" i="9"/>
  <c r="F42" i="9"/>
  <c r="J41" i="9"/>
  <c r="H41" i="9"/>
  <c r="F41" i="9"/>
  <c r="J40" i="9"/>
  <c r="H40" i="9"/>
  <c r="F40" i="9"/>
  <c r="J39" i="9"/>
  <c r="H39" i="9"/>
  <c r="F39" i="9"/>
  <c r="J38" i="9"/>
  <c r="H38" i="9"/>
  <c r="F38" i="9"/>
  <c r="J37" i="9"/>
  <c r="H37" i="9"/>
  <c r="F37" i="9"/>
  <c r="J36" i="9"/>
  <c r="H36" i="9"/>
  <c r="F36" i="9"/>
  <c r="J35" i="9"/>
  <c r="H35" i="9"/>
  <c r="F35" i="9"/>
  <c r="J34" i="9"/>
  <c r="H34" i="9"/>
  <c r="F34" i="9"/>
  <c r="J33" i="9"/>
  <c r="H33" i="9"/>
  <c r="F33" i="9"/>
  <c r="J20" i="9"/>
  <c r="J19" i="9"/>
  <c r="J18" i="9"/>
  <c r="J17" i="9"/>
  <c r="J16" i="9"/>
  <c r="J15" i="9"/>
  <c r="J14" i="9"/>
  <c r="F3" i="9"/>
  <c r="F2" i="9"/>
  <c r="F13" i="3"/>
  <c r="G13" i="3" s="1"/>
  <c r="F14" i="3"/>
  <c r="G14" i="3" s="1"/>
  <c r="F15" i="3"/>
  <c r="G15" i="3" s="1"/>
  <c r="F16" i="3"/>
  <c r="G16" i="3" s="1"/>
  <c r="F17" i="3"/>
  <c r="G17" i="3" s="1"/>
  <c r="G4" i="2"/>
  <c r="G5" i="2"/>
  <c r="G6" i="2"/>
  <c r="G3" i="2"/>
  <c r="E2" i="2" l="1"/>
  <c r="K46" i="9"/>
  <c r="K34" i="9"/>
  <c r="K52" i="9"/>
  <c r="K39" i="9"/>
  <c r="K35" i="9"/>
  <c r="K54" i="9"/>
  <c r="K53" i="9"/>
  <c r="K51" i="9"/>
  <c r="K50" i="9"/>
  <c r="K49" i="9"/>
  <c r="K47" i="9"/>
  <c r="K44" i="9"/>
  <c r="K43" i="9"/>
  <c r="K42" i="9"/>
  <c r="K41" i="9"/>
  <c r="K40" i="9"/>
  <c r="K38" i="9"/>
  <c r="K37" i="9"/>
  <c r="K36" i="9"/>
  <c r="K33" i="9"/>
  <c r="G5" i="26"/>
  <c r="G4" i="26"/>
  <c r="G6" i="26"/>
  <c r="G3" i="26"/>
  <c r="G2" i="26"/>
  <c r="K4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D2" i="1"/>
  <c r="H4" i="9" l="1"/>
  <c r="F5" i="9"/>
  <c r="N5" i="9" s="1"/>
  <c r="H5" i="9"/>
  <c r="F6" i="9"/>
  <c r="H6" i="9"/>
  <c r="F7" i="9"/>
  <c r="H7" i="9"/>
  <c r="N7" i="9" s="1"/>
  <c r="F8" i="9"/>
  <c r="H8" i="9"/>
  <c r="F9" i="9"/>
  <c r="H9" i="9"/>
  <c r="F10" i="9"/>
  <c r="H10" i="9"/>
  <c r="F11" i="9"/>
  <c r="H11" i="9"/>
  <c r="F12" i="9"/>
  <c r="H12" i="9"/>
  <c r="F13" i="9"/>
  <c r="H13" i="9"/>
  <c r="F14" i="9"/>
  <c r="H14" i="9"/>
  <c r="K14" i="9" s="1"/>
  <c r="F15" i="9"/>
  <c r="H15" i="9"/>
  <c r="F16" i="9"/>
  <c r="H16" i="9"/>
  <c r="F17" i="9"/>
  <c r="H17" i="9"/>
  <c r="F18" i="9"/>
  <c r="H18" i="9"/>
  <c r="F19" i="9"/>
  <c r="H19" i="9"/>
  <c r="K19" i="9" s="1"/>
  <c r="F20" i="9"/>
  <c r="H20" i="9"/>
  <c r="K20" i="9" s="1"/>
  <c r="F21" i="9"/>
  <c r="H21" i="9"/>
  <c r="F22" i="9"/>
  <c r="H22" i="9"/>
  <c r="F23" i="9"/>
  <c r="H23" i="9"/>
  <c r="F24" i="9"/>
  <c r="H24" i="9"/>
  <c r="F25" i="9"/>
  <c r="H25" i="9"/>
  <c r="F26" i="9"/>
  <c r="H26" i="9"/>
  <c r="F27" i="9"/>
  <c r="H27" i="9"/>
  <c r="F28" i="9"/>
  <c r="H28" i="9"/>
  <c r="F29" i="9"/>
  <c r="H29" i="9"/>
  <c r="F30" i="9"/>
  <c r="H30" i="9"/>
  <c r="F31" i="9"/>
  <c r="H31" i="9"/>
  <c r="F32" i="9"/>
  <c r="H32" i="9"/>
  <c r="F45" i="9"/>
  <c r="H45" i="9"/>
  <c r="K18" i="9" l="1"/>
  <c r="K17" i="9"/>
  <c r="K16" i="9"/>
  <c r="K15" i="9"/>
  <c r="J45" i="9"/>
  <c r="K45" i="9" s="1"/>
  <c r="J32" i="9" l="1"/>
  <c r="K32" i="9" s="1"/>
  <c r="J31" i="9"/>
  <c r="K31" i="9" s="1"/>
  <c r="J30" i="9"/>
  <c r="K30" i="9" s="1"/>
  <c r="J29" i="9"/>
  <c r="K29" i="9" s="1"/>
  <c r="J28" i="9"/>
  <c r="K28" i="9" s="1"/>
  <c r="J27" i="9"/>
  <c r="K27" i="9" s="1"/>
  <c r="J26" i="9"/>
  <c r="K26" i="9" s="1"/>
  <c r="J25" i="9"/>
  <c r="K25" i="9" s="1"/>
  <c r="J24" i="9"/>
  <c r="K24" i="9" s="1"/>
  <c r="F5" i="3" l="1"/>
  <c r="G5" i="3" s="1"/>
  <c r="H5" i="3" s="1"/>
  <c r="F4" i="3"/>
  <c r="G4" i="3" s="1"/>
  <c r="H4" i="3" s="1"/>
  <c r="F3" i="3"/>
  <c r="G3" i="3" s="1"/>
  <c r="H3" i="3" s="1"/>
  <c r="H3" i="9" l="1"/>
  <c r="J2" i="9" l="1"/>
  <c r="J3" i="9" l="1"/>
  <c r="K3" i="9" s="1"/>
  <c r="J4" i="9"/>
  <c r="J5" i="9"/>
  <c r="K5" i="9" s="1"/>
  <c r="J6" i="9"/>
  <c r="K6" i="9" s="1"/>
  <c r="J7" i="9"/>
  <c r="K7" i="9" s="1"/>
  <c r="J8" i="9"/>
  <c r="K8" i="9" s="1"/>
  <c r="J9" i="9"/>
  <c r="N9" i="9" s="1"/>
  <c r="J10" i="9"/>
  <c r="K10" i="9" s="1"/>
  <c r="J11" i="9"/>
  <c r="K11" i="9" s="1"/>
  <c r="J12" i="9"/>
  <c r="K12" i="9" s="1"/>
  <c r="J13" i="9"/>
  <c r="K13" i="9" s="1"/>
  <c r="J21" i="9"/>
  <c r="K21" i="9" s="1"/>
  <c r="J22" i="9"/>
  <c r="K22" i="9" s="1"/>
  <c r="J23" i="9"/>
  <c r="K23" i="9" s="1"/>
  <c r="H2" i="9"/>
  <c r="K2" i="9" s="1"/>
  <c r="K9" i="9" l="1"/>
  <c r="E4" i="2"/>
  <c r="E5" i="2"/>
  <c r="E6" i="2"/>
  <c r="E3" i="2"/>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F4" i="9" l="1"/>
  <c r="K4" i="9" l="1"/>
</calcChain>
</file>

<file path=xl/sharedStrings.xml><?xml version="1.0" encoding="utf-8"?>
<sst xmlns="http://schemas.openxmlformats.org/spreadsheetml/2006/main" count="950" uniqueCount="335">
  <si>
    <t>Data Dictionary</t>
  </si>
  <si>
    <t>Version control</t>
  </si>
  <si>
    <t>Version</t>
  </si>
  <si>
    <t>Date</t>
  </si>
  <si>
    <t>Authors</t>
  </si>
  <si>
    <t>Most important changes</t>
  </si>
  <si>
    <t>0.1</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</si>
  <si>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</si>
  <si>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</si>
  <si>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</si>
  <si>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</si>
  <si>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</si>
  <si>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</si>
  <si>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</si>
  <si>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</si>
  <si>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</si>
  <si>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</si>
  <si>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</si>
  <si>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</si>
  <si>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</si>
  <si>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</si>
  <si>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</si>
  <si>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</si>
  <si>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</si>
  <si>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</si>
  <si>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</si>
  <si>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</si>
  <si>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</si>
  <si>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</si>
  <si>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</si>
  <si>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</si>
  <si>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</si>
  <si>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</si>
  <si>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</si>
  <si>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</si>
  <si>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</si>
  <si>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</si>
  <si>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</si>
  <si>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</si>
  <si>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</si>
  <si>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</si>
  <si>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</si>
  <si>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</si>
  <si>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</si>
  <si>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</si>
  <si>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</si>
  <si>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</si>
  <si>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</si>
  <si>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</si>
  <si>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</si>
  <si>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</si>
  <si>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</si>
  <si>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</si>
  <si>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</si>
  <si>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</si>
  <si>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</si>
  <si>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</si>
  <si>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</si>
  <si>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</si>
  <si>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</si>
  <si>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</si>
  <si>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</si>
  <si>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</si>
  <si>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</si>
  <si>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</si>
  <si>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</si>
  <si>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</si>
  <si>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</si>
  <si>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</si>
  <si>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</si>
  <si>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</si>
  <si>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</si>
  <si>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</si>
  <si>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</si>
  <si>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</si>
  <si>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</si>
  <si>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</si>
  <si>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</si>
  <si>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</si>
  <si>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</si>
  <si>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</si>
  <si>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</si>
  <si>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</si>
  <si>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</si>
  <si>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</si>
  <si>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</si>
  <si>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</si>
  <si>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</si>
  <si>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</si>
  <si>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</si>
  <si>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</si>
  <si>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</si>
  <si>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</si>
  <si>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</si>
  <si>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</si>
  <si>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</si>
  <si>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</si>
  <si>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</si>
  <si>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</si>
  <si>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</si>
  <si>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</si>
  <si>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</si>
  <si>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</si>
  <si>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</si>
  <si>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</si>
  <si>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</si>
  <si>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</si>
  <si>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</si>
  <si>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</si>
  <si>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</si>
  <si>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</si>
  <si>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</si>
  <si>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</si>
  <si>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</si>
  <si>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</si>
  <si>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</si>
  <si>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</si>
  <si>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Parent entity Qualified name</t>
  </si>
  <si>
    <t>Parent entity Qualified Name2</t>
  </si>
  <si>
    <t>Parent entity Qualified Name3</t>
  </si>
  <si>
    <t>Unique entity qualified name</t>
  </si>
  <si>
    <t>Clean attribute name</t>
  </si>
  <si>
    <t>Data attribute qualified name</t>
  </si>
  <si>
    <t>Intermediate Qualified System Name</t>
  </si>
  <si>
    <t>Collection Intermediate Qualified Name</t>
  </si>
  <si>
    <t>Dataset Intermediate Qualified Name</t>
  </si>
  <si>
    <t>Intermediate Physical Qualified Name</t>
  </si>
  <si>
    <t>Field Intermediate Qualified Name</t>
  </si>
  <si>
    <t>Content Structure Intermediate Qualified Name</t>
  </si>
  <si>
    <t>Content structure Qualified Name</t>
  </si>
  <si>
    <t>System</t>
  </si>
  <si>
    <t>Data Collection</t>
  </si>
  <si>
    <t>Dataset</t>
  </si>
  <si>
    <t>Deleted Entity Qualified Name</t>
  </si>
  <si>
    <t>Deleted Attribute Qualified Name</t>
  </si>
  <si>
    <t>Version: 0.86</t>
  </si>
  <si>
    <t>Deleted Field Attribute Qualified Name</t>
  </si>
  <si>
    <t>_index</t>
  </si>
  <si>
    <t>_type</t>
  </si>
  <si>
    <t>business_rule_id</t>
  </si>
  <si>
    <t>data_attribute_name.keyword</t>
  </si>
  <si>
    <t>data_attribute_name</t>
  </si>
  <si>
    <t>data_attribute_qualified_name.keyword</t>
  </si>
  <si>
    <t>data_attribute_qualified_name</t>
  </si>
  <si>
    <t>data_domain_name.keyword</t>
  </si>
  <si>
    <t>data_domain_name</t>
  </si>
  <si>
    <t>data_domain_qualified_name.keyword</t>
  </si>
  <si>
    <t>data_domain_qualified_name</t>
  </si>
  <si>
    <t>data_entity_name.keyword</t>
  </si>
  <si>
    <t>data_entity_name</t>
  </si>
  <si>
    <t>data_entity_qualified_name.keyword</t>
  </si>
  <si>
    <t>data_entity_qualified_name</t>
  </si>
  <si>
    <t>data_field_name.keyword</t>
  </si>
  <si>
    <t>data_field_name</t>
  </si>
  <si>
    <t>data_field_qualified_name.keyword</t>
  </si>
  <si>
    <t>data_field_qualified_name</t>
  </si>
  <si>
    <t>dq_score</t>
  </si>
  <si>
    <t>expression.keyword</t>
  </si>
  <si>
    <t>expression</t>
  </si>
  <si>
    <t>expression_version</t>
  </si>
  <si>
    <t>result_id.keyword</t>
  </si>
  <si>
    <t>result_id</t>
  </si>
  <si>
    <t>run_date</t>
  </si>
  <si>
    <t>run_id.keyword</t>
  </si>
  <si>
    <t>run_id</t>
  </si>
  <si>
    <t>status.keyword</t>
  </si>
  <si>
    <t>status</t>
  </si>
  <si>
    <t>test_date</t>
  </si>
  <si>
    <t>_id</t>
  </si>
  <si>
    <t>The data quality score is the result of the performed expression, the score is a numeric value within the range 0-1.</t>
  </si>
  <si>
    <t>Conceptual Data Model</t>
  </si>
  <si>
    <t>Deleted Domain Qualified Name</t>
  </si>
  <si>
    <t>Child entity qualified name2</t>
  </si>
  <si>
    <t>Kafka Broker</t>
  </si>
  <si>
    <t>KSQL Server</t>
  </si>
  <si>
    <t>NodeRed</t>
  </si>
  <si>
    <t>Unique Domain Qualified Name</t>
  </si>
  <si>
    <t>State</t>
  </si>
  <si>
    <t>DateTime</t>
  </si>
  <si>
    <t>Yes</t>
  </si>
  <si>
    <t>No</t>
  </si>
  <si>
    <t>Text</t>
  </si>
  <si>
    <t>Numeric</t>
  </si>
  <si>
    <t>String</t>
  </si>
  <si>
    <t>Integer</t>
  </si>
  <si>
    <t>Process Name</t>
  </si>
  <si>
    <t>Process Intermediate Qualified Name</t>
  </si>
  <si>
    <t>Process Qualified Name</t>
  </si>
  <si>
    <t>System Intermediate Qualified Name</t>
  </si>
  <si>
    <t>Input 1</t>
  </si>
  <si>
    <t>Input 2</t>
  </si>
  <si>
    <t>Input 3</t>
  </si>
  <si>
    <t>Input 4</t>
  </si>
  <si>
    <t>Output 2</t>
  </si>
  <si>
    <t>Output 3</t>
  </si>
  <si>
    <t>Output 4</t>
  </si>
  <si>
    <t>Default Cluster</t>
  </si>
  <si>
    <t>Production Planning</t>
  </si>
  <si>
    <t>Order Management</t>
  </si>
  <si>
    <t>Operational Monitoring</t>
  </si>
  <si>
    <t>Production Performance</t>
  </si>
  <si>
    <t>production-planning</t>
  </si>
  <si>
    <t>Inventory and Capacity Planning</t>
  </si>
  <si>
    <t>Machine Health Metrics</t>
  </si>
  <si>
    <t>operational-monitoring</t>
  </si>
  <si>
    <t>Order Processing and Fulfillment</t>
  </si>
  <si>
    <t>Customer Order</t>
  </si>
  <si>
    <t>order-management</t>
  </si>
  <si>
    <t>Product Counter</t>
  </si>
  <si>
    <t>Yield</t>
  </si>
  <si>
    <t>Throughput</t>
  </si>
  <si>
    <t>Inventory Level</t>
  </si>
  <si>
    <t>Planned Orders Today</t>
  </si>
  <si>
    <t>Air Pressure</t>
  </si>
  <si>
    <t>Motor Temperature</t>
  </si>
  <si>
    <t>Total Power</t>
  </si>
  <si>
    <t>Fulfilled Orders Today</t>
  </si>
  <si>
    <t>Order Fulfillment</t>
  </si>
  <si>
    <t>Fulfilled Quantity</t>
  </si>
  <si>
    <t>Current Fulfillment</t>
  </si>
  <si>
    <t>Estimated Time of Completion</t>
  </si>
  <si>
    <t>Next Order Number</t>
  </si>
  <si>
    <t>Current Order</t>
  </si>
  <si>
    <t>Order Id</t>
  </si>
  <si>
    <t>Ordered Quantity</t>
  </si>
  <si>
    <t>Shipment Slot</t>
  </si>
  <si>
    <t>Customer Deadline</t>
  </si>
  <si>
    <t>Scrap Counter</t>
  </si>
  <si>
    <t>Estimate Time of Completion</t>
  </si>
  <si>
    <t>production-planning--production-performance</t>
  </si>
  <si>
    <t>production-planning--inventory-and-capacity-planning</t>
  </si>
  <si>
    <t>operational-monitoring--machine-health-metrics</t>
  </si>
  <si>
    <t>order-management--order-processing-and-fulfillment</t>
  </si>
  <si>
    <t>production-planning--production-performance--product-counter</t>
  </si>
  <si>
    <t>production-planning--production-performance--scrap-counter</t>
  </si>
  <si>
    <t>production-planning--production-performance--state</t>
  </si>
  <si>
    <t>operational-monitoring--machine-health-metrics--air-pressure</t>
  </si>
  <si>
    <t>operational-monitoring--machine-health-metrics--motor-temperature</t>
  </si>
  <si>
    <t>operational-monitoring--machine-health-metrics--total-power</t>
  </si>
  <si>
    <t>order-management--order-processing-and-fulfillment--current-order</t>
  </si>
  <si>
    <t>order-management--order-processing-and-fulfillment--next-order-number</t>
  </si>
  <si>
    <t>Sensor Data Processing</t>
  </si>
  <si>
    <t>NodeRED Flows</t>
  </si>
  <si>
    <t>produce metrics</t>
  </si>
  <si>
    <t>iot-expo-metrics</t>
  </si>
  <si>
    <t>iot-expo-metrics-avro</t>
  </si>
  <si>
    <t>Telegraf</t>
  </si>
  <si>
    <t>KSQL Processed Data</t>
  </si>
  <si>
    <t>iot-metrics-bucket</t>
  </si>
  <si>
    <t>InfluxDB</t>
  </si>
  <si>
    <t>Production</t>
  </si>
  <si>
    <t>Influx Measurements</t>
  </si>
  <si>
    <t>Telegraf Metrics</t>
  </si>
  <si>
    <t>Data Ingestion</t>
  </si>
  <si>
    <t>Data Transformation</t>
  </si>
  <si>
    <t>Data Transfer</t>
  </si>
  <si>
    <t>Timeseries Data Storage</t>
  </si>
  <si>
    <t>Grafana</t>
  </si>
  <si>
    <t>Grafana Dashboards</t>
  </si>
  <si>
    <t>production-planning--production-performance--yield</t>
  </si>
  <si>
    <t>order-management--order-processing-and-fulfillment--order-fulfillment</t>
  </si>
  <si>
    <t>production-planning--inventory-and-capacity-planning--inventory-level</t>
  </si>
  <si>
    <t>order-management--order-processing-and-fulfillment--fulfilled-orders-today</t>
  </si>
  <si>
    <t>production-planning--inventory-and-capacity-planning--planned-orders-today</t>
  </si>
  <si>
    <t>production-planning--production-performance--throughput</t>
  </si>
  <si>
    <t>order-management--order-processing-and-fulfillment--fulfilled-quantity</t>
  </si>
  <si>
    <t>order-management--order-processing-and-fulfillment--current-fulfillment</t>
  </si>
  <si>
    <t>order-management--order-processing-and-fulfillment--estimate-time-of-completion</t>
  </si>
  <si>
    <t>Float</t>
  </si>
  <si>
    <t>-Deepal Rathod</t>
  </si>
  <si>
    <t>Production KPI</t>
  </si>
  <si>
    <t>c</t>
  </si>
  <si>
    <t>Abe Rietsma</t>
  </si>
  <si>
    <t>abe.rietsma@aureliusenterprise.com</t>
  </si>
  <si>
    <t>Jeremy De Boer</t>
  </si>
  <si>
    <t>jeremy.deboer@aureliusenterprise.com</t>
  </si>
  <si>
    <t>Theo Veenstra</t>
  </si>
  <si>
    <t>theo.veenstra@aureliusenterprise.com</t>
  </si>
  <si>
    <t>Jarek Costa</t>
  </si>
  <si>
    <t>jarek.costa@aureliusenterprise.com</t>
  </si>
  <si>
    <t>Jan De Jong</t>
  </si>
  <si>
    <t>jan.dejong@aureliusenterprise.com</t>
  </si>
  <si>
    <t>Maarten Driesens</t>
  </si>
  <si>
    <t>maarten.driesens@aureliusenterprise.com</t>
  </si>
  <si>
    <t>John Ross</t>
  </si>
  <si>
    <t>john.ross@aureliusenterprise.com</t>
  </si>
  <si>
    <t>Todd Gras</t>
  </si>
  <si>
    <t>todd.gras@aureliusenterprise.com</t>
  </si>
  <si>
    <t>Laurens Franck</t>
  </si>
  <si>
    <t>laurens.franck@aureliusenterprise.com</t>
  </si>
  <si>
    <t>Johan Kooistra</t>
  </si>
  <si>
    <t>johan.kooistra@aureliusenterprise.com</t>
  </si>
  <si>
    <t>Focuses on the metrics related to overall production efficiency and performance.</t>
  </si>
  <si>
    <t>Monitors stock levels and production capacity.</t>
  </si>
  <si>
    <t>Tracks the operational status and health of machines, focusing on environmental and power-related metrics.</t>
  </si>
  <si>
    <t>This entity name captures both the production order management aspect and the fulfillment metrics .</t>
  </si>
  <si>
    <t>Represents the core attributes of each customer order including shipment and deadlines.</t>
  </si>
  <si>
    <t>Production Planning involves scheduling and organizing the steps necessary for manufacturing goods. It ensures that resources like materials, equipment, and labor are optimally allocated to meet production goals. The data in this domain focuses on upcoming production orders, resource availability, and the timeline for completing production activities. Key elements include scheduling, order prioritization, and capacity management.</t>
  </si>
  <si>
    <t>Order Management refers to the process of tracking and managing customer orders from initiation to fulfillment. It ensures that production aligns with customer demands and that orders are fulfilled on time. The data in this domain typically involves tracking current and upcoming orders, their statuses, order priorities, and the logistical flow from receipt to delivery.</t>
  </si>
  <si>
    <t>Operational Monitoring focuses on real-time tracking of the status and performance of machinery and systems in a production environment. This domain ensures that equipment operates efficiently, safely, and within desired parameters. Data includes machine states (e.g., running, idle, maintenance), sensor readings (e.g., temperature, pressure), and any performance metrics that indicate machine health and overall operational efficiency.</t>
  </si>
  <si>
    <t>A numeric value representing the total number of products produced during a specified timeframe or production run.</t>
  </si>
  <si>
    <t>A numeric value indicating the number of defective or unusable products generated during the production process.</t>
  </si>
  <si>
    <t>The percentage of products produced that meet quality standards relative to the total number of products produced, calculated as (Total Products Produced - Scrap) / Total Products Produced * 100.</t>
  </si>
  <si>
    <t>The rate at which products are produced, typically measured in units per hour or units per minute.</t>
  </si>
  <si>
    <t>The current operational status of the machine, which may include states such as "Executing" or "Non-Executing"."</t>
  </si>
  <si>
    <t>The total quantity of products  available in stock at a given time.</t>
  </si>
  <si>
    <t>The number of orders scheduled for production or fulfillment within the current day.</t>
  </si>
  <si>
    <t>The pressure of air within the machine's system used to monitor the efficiency and functionality of pneumatic systems.</t>
  </si>
  <si>
    <t>The operating temperature of the machine's motor which is used to ensure the motor is functioning within safe temperature ranges.</t>
  </si>
  <si>
    <t>The total energy consumption of the machine during operation indicating the efficiency and performance of the machine.</t>
  </si>
  <si>
    <t>The total number of orders that have been successfully completed and shipped on the current day.</t>
  </si>
  <si>
    <t>The average percentage of ordered quantities that have been successfully fulfilled across multiple orders over a specific period.</t>
  </si>
  <si>
    <t>The total number of units delivered to customers from a specific order.</t>
  </si>
  <si>
    <t>The ongoing status of order processing, which  indicates the percentage of an order that has been fulfilled to date.</t>
  </si>
  <si>
    <t>The projected time remaining until a specific order is fully fulfilled, often provided to manage customer expectations.</t>
  </si>
  <si>
    <t>The identifier for the next order to be processed, sequentially generated for tracking and organization.</t>
  </si>
  <si>
    <t>The identifier for the order currently being processed or fulfilled.</t>
  </si>
  <si>
    <t>A unique identifier assigned to each customer order for tracking and management purposes.</t>
  </si>
  <si>
    <t>The total number of units requested by the customer in a specific order.</t>
  </si>
  <si>
    <t>The scheduled time or date allocated for shipping the order, often used to manage logistics and delivery.</t>
  </si>
  <si>
    <r>
      <rPr>
        <sz val="11"/>
        <color theme="1"/>
        <rFont val="Aptos Narrow"/>
        <family val="2"/>
      </rPr>
      <t xml:space="preserve">It </t>
    </r>
    <r>
      <rPr>
        <sz val="11"/>
        <color theme="1"/>
        <rFont val="Calibri"/>
        <family val="2"/>
        <scheme val="minor"/>
      </rPr>
      <t>refers to the specific date and time by which a product must be delivered to the customer, as agreed upon in the order or contract.</t>
    </r>
    <r>
      <rPr>
        <sz val="11"/>
        <color theme="1"/>
        <rFont val="Calibri"/>
        <family val="2"/>
        <scheme val="minor"/>
      </rPr>
      <t xml:space="preserve"> </t>
    </r>
  </si>
  <si>
    <t>Output 1</t>
  </si>
  <si>
    <t>Process Owner</t>
  </si>
  <si>
    <t>order-management--customer-order</t>
  </si>
  <si>
    <t>order-management--customer-order--order-id</t>
  </si>
  <si>
    <t>order-management--customer-order--ordered-quantity</t>
  </si>
  <si>
    <t>order-management--customer-order--shipment-slot</t>
  </si>
  <si>
    <t>order-management--customer-order--customer-deadline</t>
  </si>
  <si>
    <t>nodered--nodered-flows--produce-metrics</t>
  </si>
  <si>
    <t>kafka-broker--default-cluster--iotexpometrics</t>
  </si>
  <si>
    <t>ksql-server--ksql-processed-data--iotexpometricsavro</t>
  </si>
  <si>
    <t>telegraf--telegraf-metrics--iotmetricsbucket</t>
  </si>
  <si>
    <t>influxdb--influx-measurements--production</t>
  </si>
  <si>
    <t>grafana--grafana-dashboards--production-kpi</t>
  </si>
  <si>
    <t>Cuistomer Deadline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</si>
</sst>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u/>
      <sz val="11"/>
      <color theme="10"/>
      <name val="Calibri"/>
      <family val="2"/>
      <scheme val="minor"/>
    </font>
    <font>
      <sz val="11"/>
      <color theme="1"/>
      <name val="Aptos Narrow"/>
      <family val="2"/>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s>
  <borders count="31">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style="hair">
        <color auto="1"/>
      </bottom>
      <diagonal/>
    </border>
    <border>
      <left/>
      <right style="hair">
        <color auto="1"/>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3" fillId="0" borderId="0" applyNumberFormat="0" applyFill="0" applyBorder="0" applyAlignment="0" applyProtection="0"/>
  </cellStyleXfs>
  <cellXfs count="124">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3" borderId="10" xfId="0" applyFill="1" applyBorder="1"/>
    <xf numFmtId="0" fontId="0" fillId="13" borderId="11" xfId="0" applyFill="1" applyBorder="1"/>
    <xf numFmtId="0" fontId="0" fillId="13" borderId="12" xfId="0" applyFill="1" applyBorder="1"/>
    <xf numFmtId="0" fontId="0" fillId="13" borderId="0" xfId="0" applyFill="1"/>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1" fillId="2" borderId="0" xfId="0" applyFont="1" applyFill="1" applyAlignment="1">
      <alignment vertical="top"/>
    </xf>
    <xf numFmtId="0" fontId="2" fillId="0" borderId="28" xfId="0" applyFont="1" applyBorder="1" applyAlignment="1">
      <alignment horizontal="left" vertical="top" wrapText="1"/>
    </xf>
    <xf numFmtId="0" fontId="2" fillId="0" borderId="25" xfId="0" applyFont="1" applyBorder="1" applyAlignment="1">
      <alignment vertical="top"/>
    </xf>
    <xf numFmtId="0" fontId="2" fillId="0" borderId="25" xfId="0" applyFont="1" applyBorder="1" applyAlignment="1">
      <alignment vertical="top" wrapText="1"/>
    </xf>
    <xf numFmtId="0" fontId="2" fillId="0" borderId="5" xfId="0" applyFont="1" applyBorder="1" applyAlignment="1">
      <alignment horizontal="left" vertical="top" wrapText="1"/>
    </xf>
    <xf numFmtId="0" fontId="0" fillId="0" borderId="29" xfId="0" applyBorder="1" applyAlignment="1">
      <alignment vertical="top"/>
    </xf>
    <xf numFmtId="0" fontId="23" fillId="0" borderId="0" xfId="1"/>
    <xf numFmtId="0" fontId="0" fillId="0" borderId="30" xfId="0" applyBorder="1"/>
    <xf numFmtId="0" fontId="0" fillId="0" borderId="30" xfId="0" applyBorder="1" applyAlignment="1">
      <alignment horizontal="left"/>
    </xf>
    <xf numFmtId="0" fontId="23" fillId="0" borderId="1" xfId="1" applyBorder="1" applyAlignment="1">
      <alignment horizontal="left" vertical="top" wrapText="1"/>
    </xf>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0" xfId="0" quotePrefix="1" applyFont="1" applyFill="1" applyAlignment="1">
      <alignment vertical="top" wrapText="1"/>
    </xf>
    <xf numFmtId="0" fontId="21" fillId="10" borderId="0" xfId="0" quotePrefix="1" applyFont="1" applyFill="1" applyAlignment="1">
      <alignment vertical="top"/>
    </xf>
    <xf numFmtId="0" fontId="19" fillId="10" borderId="0" xfId="0" applyFont="1" applyFill="1" applyAlignment="1">
      <alignment vertical="top"/>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9" fillId="3" borderId="0" xfId="0" applyFont="1" applyFill="1" applyAlignment="1">
      <alignment horizontal="left" vertical="top" wrapText="1"/>
    </xf>
    <xf numFmtId="0" fontId="5" fillId="3" borderId="0" xfId="0" applyFont="1" applyFill="1" applyAlignment="1">
      <alignment horizontal="center" textRotation="90" wrapText="1"/>
    </xf>
  </cellXfs>
  <cellStyles count="2">
    <cellStyle name="Hyperlink" xfId="1" builtinId="8"/>
    <cellStyle name="Normal" xfId="0" builtinId="0"/>
  </cellStyles>
  <dxfs count="134">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right style="hair">
          <color auto="1"/>
        </right>
        <top style="hair">
          <color auto="1"/>
        </top>
        <bottom style="hair">
          <color auto="1"/>
        </bottom>
      </border>
    </dxf>
    <dxf>
      <font>
        <i val="0"/>
        <strike val="0"/>
        <outline val="0"/>
        <shadow val="0"/>
        <u val="none"/>
        <vertAlign val="baseline"/>
        <sz val="11"/>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outline="0">
        <left style="thin">
          <color indexed="64"/>
        </lef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293017" y="3286602"/>
          <a:ext cx="12899606" cy="5982648"/>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2"/>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4" totalsRowShown="0" headerRowDxfId="130" dataDxfId="129">
  <autoFilter ref="B1:F4" xr:uid="{77BEF923-0E84-4319-BE80-D92CC25459A2}"/>
  <tableColumns count="5">
    <tableColumn id="5" xr3:uid="{11B3A1DB-AB66-4648-ABA4-E86BEF7B486B}" name="ID" dataDxfId="128"/>
    <tableColumn id="1" xr3:uid="{760C961A-6C0B-480E-920E-A1E5679B257B}" name="Domain name" dataDxfId="127"/>
    <tableColumn id="2" xr3:uid="{27621B33-D617-479E-A693-BCD9361C8766}" name="Domain Qualified Name" dataDxfId="126">
      <calculatedColumnFormula>SUBSTITUTE(SUBSTITUTE(SUBSTITUTE(SUBSTITUTE(LOWER(C2),"&amp;",""),"-",""),"  ","-")," ","-")</calculatedColumnFormula>
    </tableColumn>
    <tableColumn id="4" xr3:uid="{D22E4325-3A2F-4A79-AEFB-C0B20EDAF848}" name="Definition" dataDxfId="125"/>
    <tableColumn id="3" xr3:uid="{6B1423F3-5FC8-44DE-B0EB-9EFB4A75D370}" name="Data Domain Lead" dataDxfId="1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6" totalsRowShown="0" headerRowDxfId="120" dataDxfId="119">
  <autoFilter ref="B1:P6" xr:uid="{EED484E7-34B3-4E9F-9934-BE196F1ED2DB}"/>
  <tableColumns count="15">
    <tableColumn id="11" xr3:uid="{0858CF24-0FCF-45FB-B58A-0CE747D08160}" name="ID" dataDxfId="118"/>
    <tableColumn id="1" xr3:uid="{85E6BEAF-3210-4B73-950F-B9D78F6AFAE8}" name="Data Domain" dataDxfId="117"/>
    <tableColumn id="2" xr3:uid="{EE30D4C6-851B-453B-A9E6-837F21E6DF85}" name="Unique Domain Qualified Name" dataDxfId="116">
      <calculatedColumnFormula>Table1[[#This Row],[Data Domain]]</calculatedColumnFormula>
    </tableColumn>
    <tableColumn id="12" xr3:uid="{183D6FBB-32A3-42F1-9840-83420C4A79BA}" name="Entity Qualified Name" dataDxfId="115">
      <calculatedColumnFormula>IF(Table1[[#This Row],[Has Parent]]="Yes",Table1[[#This Row],[Unique Domain Qualified Name]]&amp;"--"&amp;Table1[[#This Row],[Parent entity Qualified Name3]]&amp;"--"&amp;Table1[[#This Row],[Child entity qualified name2]],Table1[[#This Row],[Unique Domain Qualified Name]]&amp;"--"&amp;Table1[[#This Row],[Child entity qualified name2]])</calculatedColumnFormula>
    </tableColumn>
    <tableColumn id="5" xr3:uid="{17D21751-1CFA-4273-AE5B-9CCCFA323CF9}" name="Entity name" dataDxfId="114"/>
    <tableColumn id="6" xr3:uid="{2DFDA551-602D-495F-8678-9FE7BDED5B93}" name="Child entity qualified name2" dataDxfId="113">
      <calculatedColumnFormula>SUBSTITUTE(SUBSTITUTE(SUBSTITUTE(SUBSTITUTE(LOWER(F2),"&amp;",""),"-",""),"  ","-")," ","-")</calculatedColumnFormula>
    </tableColumn>
    <tableColumn id="17" xr3:uid="{8FEFC1A8-7843-4217-A892-649BB56FBB4A}" name="Direct Relation to Domain" dataDxfId="112"/>
    <tableColumn id="10" xr3:uid="{D2D9F642-4ED1-4281-8616-60D1BF069657}" name="Has Parent" dataDxfId="111"/>
    <tableColumn id="3" xr3:uid="{02B9F114-1D27-485E-AE86-7F2F64709DC8}" name="Parent entity name" dataDxfId="110"/>
    <tableColumn id="13" xr3:uid="{09A54DC7-CCBB-4C8C-BA19-DCAEA474BB5A}" name="Parent entity Qualified name" dataDxfId="109"/>
    <tableColumn id="4" xr3:uid="{FCBF87D6-3A00-4E15-982F-A2967EECFC3F}" name="Parent entity Qualified Name2" dataDxfId="108"/>
    <tableColumn id="14" xr3:uid="{AC997321-D1E5-4442-B718-C7601434D9D3}" name="Parent entity Qualified Name3" dataDxfId="107"/>
    <tableColumn id="9" xr3:uid="{C856988D-56DC-4D2C-97C7-7D8F24466851}" name="Definition" dataDxfId="106"/>
    <tableColumn id="7" xr3:uid="{01C724AD-914C-4B66-8CCF-A0F51D14DFA2}" name="Business Data Owner" dataDxfId="105"/>
    <tableColumn id="8" xr3:uid="{1A160386-2E10-4338-9A72-0B2FCE78152B}" name="Business Data Steward" dataDxfId="1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22" totalsRowShown="0" headerRowDxfId="99" dataDxfId="98">
  <autoFilter ref="B1:O22" xr:uid="{4FD5616A-5629-4D4B-B5AE-EC7B7D90F6E8}"/>
  <tableColumns count="14">
    <tableColumn id="11" xr3:uid="{60DACB35-3011-4473-AEE9-71110FB9802A}" name="ID" dataDxfId="97"/>
    <tableColumn id="1" xr3:uid="{1D98DB5D-84D0-4E71-8E73-F2356D1A44B5}" name="Entity Name" dataDxfId="96"/>
    <tableColumn id="7" xr3:uid="{6657B562-460F-4A49-894E-6BAEA117B0EE}" name="Unique entity qualified name" dataDxfId="95"/>
    <tableColumn id="2" xr3:uid="{91D47C4A-373E-412C-8163-3C197BB64EFB}" name="Attribute Name" dataDxfId="94"/>
    <tableColumn id="9" xr3:uid="{97153AB9-40F9-44AE-B4DF-C574201C2A71}" name="Clean attribute name" dataDxfId="93">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92">
      <calculatedColumnFormula>SUBSTITUTE(SUBSTITUTE(SUBSTITUTE(SUBSTITUTE(LOWER(F2),"&amp;",""),"-",""),"  ","-")," ","-")</calculatedColumnFormula>
    </tableColumn>
    <tableColumn id="3" xr3:uid="{0BAA9EA4-C1C6-4870-AC8C-1E154B7B5B3F}" name="Attribute Qualified Name" dataDxfId="91">
      <calculatedColumnFormula>IF(Table3[[#This Row],[Unique entity qualified name]]&lt;&gt;"",Table3[[#This Row],[Unique entity qualified name]]&amp;"--"&amp;Table3[[#This Row],[Data attribute qualified name]],"")</calculatedColumnFormula>
    </tableColumn>
    <tableColumn id="6" xr3:uid="{C41136C5-1D75-41EB-8A6E-AEA645554009}" name="Definition" dataDxfId="90"/>
    <tableColumn id="13" xr3:uid="{18693B58-C502-4EE0-A78A-0545DEA8BDA6}" name="Data Type" dataDxfId="89"/>
    <tableColumn id="14" xr3:uid="{7352F136-E93F-4AA0-97A0-5B237E242CAC}" name="Has PII" dataDxfId="88"/>
    <tableColumn id="15" xr3:uid="{86809FFD-BE26-43E1-B093-5528DB1EB0FD}" name="Risk Classification" dataDxfId="87"/>
    <tableColumn id="16" xr3:uid="{D02BF6EA-D3C9-4A99-AACE-FAAC1BA752F7}" name="Is Key Data" dataDxfId="86"/>
    <tableColumn id="4" xr3:uid="{1B14660D-96AF-4F66-ADCF-113CCC9C2E7A}" name="Business Data Owner" dataDxfId="85"/>
    <tableColumn id="5" xr3:uid="{5DC0574A-383B-467C-ADDC-DBF272278B58}" name="Business Data Steward" dataDxfId="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22" totalsRowShown="0" headerRowDxfId="83" dataDxfId="82">
  <autoFilter ref="B1:Q122" xr:uid="{3FD2569B-B86D-4F39-9D9A-1B32B8579048}"/>
  <tableColumns count="16">
    <tableColumn id="1" xr3:uid="{DCE8DE63-589D-4A72-A9DC-8C3CB455985B}" name="ID" dataDxfId="81"/>
    <tableColumn id="2" xr3:uid="{DA5FDA8C-AAED-4EA1-9354-580D45B02E12}" name="Attribute Name" dataDxfId="80"/>
    <tableColumn id="8" xr3:uid="{3F58AFBE-20C9-44D8-BD12-D431B52C063D}" name="Attribute Qualified Name" dataDxfId="79"/>
    <tableColumn id="10" xr3:uid="{F0F75020-6A4E-442B-B3F4-8BC717D3CCA5}" name="System Name" dataDxfId="78"/>
    <tableColumn id="16" xr3:uid="{4D134E53-CC8E-4F44-9069-CC707D730046}" name="Intermediate Qualified System Name" dataDxfId="77">
      <calculatedColumnFormula>SUBSTITUTE(SUBSTITUTE(SUBSTITUTE(SUBSTITUTE(LOWER(E2),"&amp;",""),"-",""),"  ","-")," ","-")</calculatedColumnFormula>
    </tableColumn>
    <tableColumn id="11" xr3:uid="{AD5EDBEA-92D5-4400-85E0-DC18567154BB}" name="Collection Name" dataDxfId="76"/>
    <tableColumn id="17" xr3:uid="{307A19ED-7B7D-4CC3-81A2-0DB0C0259401}" name="Collection Intermediate Qualified Name" dataDxfId="75">
      <calculatedColumnFormula>SUBSTITUTE(SUBSTITUTE(SUBSTITUTE(SUBSTITUTE(LOWER(G2),"&amp;",""),"-",""),"  ","-")," ","-")</calculatedColumnFormula>
    </tableColumn>
    <tableColumn id="12" xr3:uid="{7A025681-A4D5-49D3-9D4E-844700F4DE7C}" name="Dataset Name" dataDxfId="74"/>
    <tableColumn id="15" xr3:uid="{17FE7430-7A57-439F-B835-DBD3774BBBA5}" name="Dataset Intermediate Qualified Name" dataDxfId="73">
      <calculatedColumnFormula>SUBSTITUTE(SUBSTITUTE(SUBSTITUTE(SUBSTITUTE(LOWER(I2),"&amp;",""),"-",""),"  ","-")," ","-")</calculatedColumnFormula>
    </tableColumn>
    <tableColumn id="18" xr3:uid="{065F3F72-77E9-4DF7-B13D-6652F4CDAD74}" name="Intermediate Physical Qualified Name" dataDxfId="72">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71"/>
    <tableColumn id="4" xr3:uid="{3DE52DAB-9E4A-4B37-B4C4-0E209109477B}" name="Field Intermediate Qualified Name" dataDxfId="70">
      <calculatedColumnFormula>SUBSTITUTE(SUBSTITUTE(SUBSTITUTE(LOWER(L2),"&amp;",""),"  ","-")," ","-")</calculatedColumnFormula>
    </tableColumn>
    <tableColumn id="9" xr3:uid="{C09004C5-86A3-44FC-9B9B-70D8B886462E}" name="Field Qualified Name" dataDxfId="69">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needed?)" dataDxfId="68"/>
    <tableColumn id="6" xr3:uid="{2D644923-E13B-4D2A-946C-EEA3E8666761}" name="Field Type" dataDxfId="67"/>
    <tableColumn id="7" xr3:uid="{2F03FB66-57EB-4755-A1AD-376DC649A239}" name="Has Content Structure" dataDxfId="6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63"/>
    <tableColumn id="7" xr3:uid="{DE113785-4557-42B2-8780-421E9C7203A5}" name="Content Structure Intermediate Qualified Name" dataDxfId="62"/>
    <tableColumn id="9" xr3:uid="{E201A700-B080-440A-B5D9-1FC966ED3247}" name="Content Structure Qualified Name" dataDxfId="61"/>
    <tableColumn id="8" xr3:uid="{B11984BD-3440-4437-B510-62465461DE4E}" name="Defin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18" totalsRowShown="0">
  <autoFilter ref="B1:D18"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60" dataDxfId="59">
  <autoFilter ref="B1:K1048576" xr:uid="{81BB038A-2A5A-4912-80CF-7DF61FC69F03}"/>
  <sortState xmlns:xlrd2="http://schemas.microsoft.com/office/spreadsheetml/2017/richdata2" ref="B2:K2">
    <sortCondition ref="C1:C2"/>
  </sortState>
  <tableColumns count="10">
    <tableColumn id="1" xr3:uid="{BA920A0C-4399-4BF6-B845-FA09E101EEA6}" name="ID" dataDxfId="58"/>
    <tableColumn id="2" xr3:uid="{E90D218E-B0AC-4349-89DC-68883D6C9EA8}" name="Field Qualified Name" dataDxfId="57"/>
    <tableColumn id="11" xr3:uid="{35B4DE99-3E5C-4872-AE10-9BBE5722CAB7}" name="Content structure Qualified Name" dataDxfId="56"/>
    <tableColumn id="3" xr3:uid="{FF1A9833-2798-4617-A70D-6F9F768CD3D7}" name="Business Rule Description" dataDxfId="55"/>
    <tableColumn id="4" xr3:uid="{27CA0BA4-9049-4416-A2F1-31C3B17F79BB}" name="Data Quality Rule Description" dataDxfId="54"/>
    <tableColumn id="5" xr3:uid="{EB0679D3-8326-44DE-AD02-DFFC24C88A94}" name="Data Quality Dimension" dataDxfId="53"/>
    <tableColumn id="6" xr3:uid="{6264F35F-794D-446F-85E7-1FA6B1B0BE38}" name="Filter Required" dataDxfId="52"/>
    <tableColumn id="7" xr3:uid="{1085C6F2-5292-4DF8-B870-EC74F70CCE8D}" name="Expression" dataDxfId="51"/>
    <tableColumn id="8" xr3:uid="{0DA8B5D2-A884-4C62-BAE6-A35B32158CA7}" name="Active" dataDxfId="50"/>
    <tableColumn id="9" xr3:uid="{4F453B51-9556-4F2A-BD60-1BB6D37DCA90}" name="Expression_version" dataDxfId="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1" totalsRowShown="0" headerRowDxfId="48" headerRowBorderDxfId="47" tableBorderDxfId="46">
  <autoFilter ref="B1:D11"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45" dataDxfId="43" headerRowBorderDxfId="44" tableBorderDxfId="42" totalsRowBorderDxfId="41">
  <autoFilter ref="E1:F5" xr:uid="{752363C7-2EC9-470A-9559-60CDB7C240AF}"/>
  <tableColumns count="2">
    <tableColumn id="1" xr3:uid="{D133640A-5906-4F27-8F8B-5AB3957479B7}" name="ID" dataDxfId="40"/>
    <tableColumn id="2" xr3:uid="{D2773445-0A83-41BA-8AB3-EB9CA1C45C10}" name="Deleted Entity Qualified Name" dataDxfId="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38" dataDxfId="36" headerRowBorderDxfId="37" tableBorderDxfId="35" totalsRowBorderDxfId="34">
  <autoFilter ref="H1:I80" xr:uid="{7FA359C4-807B-4A1A-8B53-AE46F1442FEC}"/>
  <tableColumns count="2">
    <tableColumn id="1" xr3:uid="{1EE3C6CF-8C2E-4887-B766-5628C7607A30}" name="ID" dataDxfId="33"/>
    <tableColumn id="2" xr3:uid="{FCD338D9-64A0-4CC1-ACFC-34D8E3F2D8A0}" name="Deleted Attribute Qualified Name" dataDxfId="3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31" dataDxfId="29" headerRowBorderDxfId="30" tableBorderDxfId="28" totalsRowBorderDxfId="27">
  <autoFilter ref="B1:C3" xr:uid="{C772EA87-744E-4307-8C33-A4BE0CA7E26E}"/>
  <tableColumns count="2">
    <tableColumn id="1" xr3:uid="{71366FF7-0231-46DF-9CE6-3DEF2F7C5932}" name="ID" dataDxfId="26"/>
    <tableColumn id="2" xr3:uid="{048DCCC1-C5D4-473E-A01E-5A19CDA79A60}" name="Deleted Domain Qualified Name" dataDxfId="2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24" dataDxfId="22" headerRowBorderDxfId="23" tableBorderDxfId="21" totalsRowBorderDxfId="20">
  <autoFilter ref="B2:C34" xr:uid="{6F515D25-4287-4766-85EB-AD9C7FD511F6}"/>
  <tableColumns count="2">
    <tableColumn id="2" xr3:uid="{3D58ECEF-AA5F-44E3-8C20-CBD2305AB89A}" name="Field Name" dataDxfId="19"/>
    <tableColumn id="3" xr3:uid="{CABF50FE-AAD8-4782-AE2B-13A6E3624388}" name="Description" dataDxfId="1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1" totalsRowShown="0" headerRowDxfId="17" dataDxfId="16">
  <autoFilter ref="B1:Q11" xr:uid="{3FD2569B-B86D-4F39-9D9A-1B32B8579048}"/>
  <tableColumns count="16">
    <tableColumn id="1" xr3:uid="{99D1C1CB-E2E3-4F72-AE2A-2144340F74B6}" name="ID" dataDxfId="15"/>
    <tableColumn id="12" xr3:uid="{3ADB90E6-05FE-4CF3-A3C3-9D8EF1407698}" name="System Name" dataDxfId="14"/>
    <tableColumn id="15" xr3:uid="{46C5256F-6F32-4FA5-8E69-DF68B99576B2}" name="System Intermediate Qualified Name" dataDxfId="13">
      <calculatedColumnFormula>SUBSTITUTE(SUBSTITUTE(SUBSTITUTE(SUBSTITUTE(LOWER(C2),"&amp;",""),"-",""),"  ","-")," ","-")</calculatedColumnFormula>
    </tableColumn>
    <tableColumn id="3" xr3:uid="{90F3A15F-7723-46CF-A0BC-350B268E22A1}" name="Process Name" dataDxfId="12"/>
    <tableColumn id="4" xr3:uid="{E218143E-BADD-490A-BD56-A2F242773E82}" name="Process Intermediate Qualified Name" dataDxfId="11">
      <calculatedColumnFormula>SUBSTITUTE(SUBSTITUTE(SUBSTITUTE(LOWER(#REF!),"&amp;",""),"  ","-")," ","-")</calculatedColumnFormula>
    </tableColumn>
    <tableColumn id="9" xr3:uid="{C4C15665-7D6B-4259-ADCE-F197E7ADBDF5}" name="Process Qualified Name" dataDxfId="10">
      <calculatedColumnFormula>Table416[[#This Row],[System Intermediate Qualified Name]]&amp;"--"&amp;Table416[[#This Row],[Process Intermediate Qualified Name]]</calculatedColumnFormula>
    </tableColumn>
    <tableColumn id="7" xr3:uid="{7C79DAA1-8BBD-4709-B1AE-259B2F2395B7}" name="Input 1" dataDxfId="9"/>
    <tableColumn id="2" xr3:uid="{6C5E1454-3124-4D96-A515-73AFC8E7AF56}" name="Input 2" dataDxfId="8"/>
    <tableColumn id="8" xr3:uid="{6F7D5848-77F9-4BB2-B207-0496BC7F7CC1}" name="Input 3" dataDxfId="7"/>
    <tableColumn id="10" xr3:uid="{41A50F8E-C292-48D2-B848-ABB423C1A3B5}" name="Input 4" dataDxfId="6"/>
    <tableColumn id="11" xr3:uid="{EC76F145-0CFB-435E-AE28-10ED08641D05}" name="Output 1" dataDxfId="5"/>
    <tableColumn id="13" xr3:uid="{572BEF9F-68B4-4F41-AAEF-7E0600A6EC5B}" name="Output 2" dataDxfId="4"/>
    <tableColumn id="14" xr3:uid="{A2EB5E12-7DFB-4AF6-ABF6-64DE0F2A7E38}" name="Output 3" dataDxfId="3"/>
    <tableColumn id="16" xr3:uid="{5F99CBCA-1847-4D81-B463-7F93A148DC61}" name="Output 4" dataDxfId="2"/>
    <tableColumn id="5" xr3:uid="{98CD4928-14BC-4E57-AE64-3FBFBD717C26}" name="Definition" dataDxfId="1"/>
    <tableColumn id="6" xr3:uid="{665B41F5-B935-4995-BAF6-9D08386EE179}" name="Process Own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5.bin"/><Relationship Id="rId1" Type="http://schemas.openxmlformats.org/officeDocument/2006/relationships/hyperlink" Target="mailto:theo.veenstra@aureliusenterprise.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hyperlink" Target="mailto:todd.gras@aureliusenterprise.com" TargetMode="External"/><Relationship Id="rId3" Type="http://schemas.openxmlformats.org/officeDocument/2006/relationships/hyperlink" Target="mailto:theo.veenstra@aureliusenterprise.com" TargetMode="External"/><Relationship Id="rId7" Type="http://schemas.openxmlformats.org/officeDocument/2006/relationships/hyperlink" Target="mailto:john.ross@aureliusenterprise.com" TargetMode="External"/><Relationship Id="rId2" Type="http://schemas.openxmlformats.org/officeDocument/2006/relationships/hyperlink" Target="mailto:jeremy.deboer@aureliusenterprise.com" TargetMode="External"/><Relationship Id="rId1" Type="http://schemas.openxmlformats.org/officeDocument/2006/relationships/hyperlink" Target="mailto:abe.rietsma@aureliusenterprise.com" TargetMode="External"/><Relationship Id="rId6" Type="http://schemas.openxmlformats.org/officeDocument/2006/relationships/hyperlink" Target="mailto:maarten.driesens@aureliusenterprise.com" TargetMode="External"/><Relationship Id="rId11" Type="http://schemas.openxmlformats.org/officeDocument/2006/relationships/table" Target="../tables/table9.xml"/><Relationship Id="rId5" Type="http://schemas.openxmlformats.org/officeDocument/2006/relationships/hyperlink" Target="mailto:jan.dejong@aureliusenterprise.com" TargetMode="External"/><Relationship Id="rId10" Type="http://schemas.openxmlformats.org/officeDocument/2006/relationships/hyperlink" Target="mailto:johan.kooistra@aureliusenterprise.com" TargetMode="External"/><Relationship Id="rId4" Type="http://schemas.openxmlformats.org/officeDocument/2006/relationships/hyperlink" Target="mailto:jarek.costa@aureliusenterprise.com" TargetMode="External"/><Relationship Id="rId9" Type="http://schemas.openxmlformats.org/officeDocument/2006/relationships/hyperlink" Target="mailto:laurens.franck@aureliusenterprise.com" TargetMode="Externa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99" t="s">
        <v>0</v>
      </c>
      <c r="D11" s="100"/>
      <c r="E11" s="100"/>
      <c r="F11" s="100"/>
      <c r="G11" s="100"/>
      <c r="H11" s="100"/>
      <c r="I11" s="100"/>
      <c r="J11" s="100"/>
      <c r="K11" s="100"/>
      <c r="L11" s="101"/>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102"/>
      <c r="D14" s="103"/>
      <c r="E14" s="103"/>
      <c r="F14" s="103"/>
      <c r="G14" s="103"/>
      <c r="H14" s="103"/>
      <c r="I14" s="103"/>
      <c r="J14" s="103"/>
      <c r="K14" s="103"/>
      <c r="L14" s="104"/>
      <c r="M14" s="7"/>
      <c r="N14" s="6"/>
    </row>
    <row r="15" spans="1:14" ht="31.8" x14ac:dyDescent="0.5">
      <c r="A15" s="6"/>
      <c r="B15" s="8"/>
      <c r="C15" s="105"/>
      <c r="D15" s="106"/>
      <c r="E15" s="106"/>
      <c r="F15" s="106"/>
      <c r="G15" s="106"/>
      <c r="H15" s="106"/>
      <c r="I15" s="106"/>
      <c r="J15" s="106"/>
      <c r="K15" s="106"/>
      <c r="L15" s="107"/>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135</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H8" sqref="H8:L8"/>
    </sheetView>
  </sheetViews>
  <sheetFormatPr defaultRowHeight="14.4" x14ac:dyDescent="0.3"/>
  <cols>
    <col min="4" max="4" width="12.7773437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1</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2</v>
      </c>
      <c r="D7" s="52" t="s">
        <v>3</v>
      </c>
      <c r="E7" s="108" t="s">
        <v>4</v>
      </c>
      <c r="F7" s="108"/>
      <c r="G7" s="108"/>
      <c r="H7" s="108" t="s">
        <v>5</v>
      </c>
      <c r="I7" s="108"/>
      <c r="J7" s="108"/>
      <c r="K7" s="108"/>
      <c r="L7" s="109"/>
      <c r="M7" s="50"/>
      <c r="N7" s="44"/>
    </row>
    <row r="8" spans="1:14" ht="26.55" customHeight="1" x14ac:dyDescent="0.3">
      <c r="A8" s="44"/>
      <c r="B8" s="48"/>
      <c r="C8" s="53" t="s">
        <v>6</v>
      </c>
      <c r="D8" s="60">
        <v>45588</v>
      </c>
      <c r="E8" s="110" t="s">
        <v>269</v>
      </c>
      <c r="F8" s="110"/>
      <c r="G8" s="110"/>
      <c r="H8" s="111" t="s">
        <v>7</v>
      </c>
      <c r="I8" s="111"/>
      <c r="J8" s="111"/>
      <c r="K8" s="111"/>
      <c r="L8" s="112"/>
      <c r="M8" s="50"/>
      <c r="N8" s="44"/>
    </row>
    <row r="9" spans="1:14" ht="89.55" customHeight="1" x14ac:dyDescent="0.3">
      <c r="A9" s="44"/>
      <c r="B9" s="48"/>
      <c r="C9" s="53"/>
      <c r="D9" s="60"/>
      <c r="E9" s="113"/>
      <c r="F9" s="113"/>
      <c r="G9" s="113"/>
      <c r="H9" s="114"/>
      <c r="I9" s="114"/>
      <c r="J9" s="114"/>
      <c r="K9" s="114"/>
      <c r="L9" s="115"/>
      <c r="M9" s="50"/>
      <c r="N9" s="44"/>
    </row>
    <row r="10" spans="1:14" ht="57.6" customHeight="1" x14ac:dyDescent="0.3">
      <c r="A10" s="44"/>
      <c r="B10" s="48"/>
      <c r="C10" s="53"/>
      <c r="D10" s="60"/>
      <c r="E10" s="116"/>
      <c r="F10" s="116"/>
      <c r="G10" s="116"/>
      <c r="H10" s="114"/>
      <c r="I10" s="114"/>
      <c r="J10" s="114"/>
      <c r="K10" s="114"/>
      <c r="L10" s="115"/>
      <c r="M10" s="50"/>
      <c r="N10" s="44"/>
    </row>
    <row r="11" spans="1:14" ht="87.6" customHeight="1" x14ac:dyDescent="0.3">
      <c r="A11" s="44"/>
      <c r="B11" s="48"/>
      <c r="C11" s="53"/>
      <c r="D11" s="60"/>
      <c r="E11" s="116"/>
      <c r="F11" s="116"/>
      <c r="G11" s="116"/>
      <c r="H11" s="114"/>
      <c r="I11" s="114"/>
      <c r="J11" s="114"/>
      <c r="K11" s="114"/>
      <c r="L11" s="115"/>
      <c r="M11" s="50"/>
      <c r="N11" s="44"/>
    </row>
    <row r="12" spans="1:14" ht="90.6" customHeight="1" x14ac:dyDescent="0.3">
      <c r="A12" s="44"/>
      <c r="B12" s="48"/>
      <c r="C12" s="53"/>
      <c r="D12" s="60"/>
      <c r="E12" s="113"/>
      <c r="F12" s="113"/>
      <c r="G12" s="113"/>
      <c r="H12" s="111"/>
      <c r="I12" s="111"/>
      <c r="J12" s="111"/>
      <c r="K12" s="111"/>
      <c r="L12" s="112"/>
      <c r="M12" s="50"/>
      <c r="N12" s="44"/>
    </row>
    <row r="13" spans="1:14" ht="53.55" customHeight="1" x14ac:dyDescent="0.3">
      <c r="A13" s="44"/>
      <c r="B13" s="48"/>
      <c r="C13" s="53"/>
      <c r="D13" s="60"/>
      <c r="E13" s="113"/>
      <c r="F13" s="113"/>
      <c r="G13" s="113"/>
      <c r="H13" s="114"/>
      <c r="I13" s="114"/>
      <c r="J13" s="114"/>
      <c r="K13" s="114"/>
      <c r="L13" s="115"/>
      <c r="M13" s="50"/>
      <c r="N13" s="44"/>
    </row>
    <row r="14" spans="1:14" ht="55.5" customHeight="1" x14ac:dyDescent="0.3">
      <c r="A14" s="44"/>
      <c r="B14" s="48"/>
      <c r="C14" s="53"/>
      <c r="D14" s="60"/>
      <c r="E14" s="117"/>
      <c r="F14" s="117"/>
      <c r="G14" s="117"/>
      <c r="H14" s="114"/>
      <c r="I14" s="114"/>
      <c r="J14" s="114"/>
      <c r="K14" s="114"/>
      <c r="L14" s="115"/>
      <c r="M14" s="50"/>
      <c r="N14" s="44"/>
    </row>
    <row r="15" spans="1:14" ht="46.5" customHeight="1" x14ac:dyDescent="0.3">
      <c r="A15" s="44"/>
      <c r="B15" s="48"/>
      <c r="C15" s="53"/>
      <c r="D15" s="60"/>
      <c r="E15" s="116"/>
      <c r="F15" s="116"/>
      <c r="G15" s="116"/>
      <c r="H15" s="114"/>
      <c r="I15" s="114"/>
      <c r="J15" s="114"/>
      <c r="K15" s="114"/>
      <c r="L15" s="115"/>
      <c r="M15" s="50"/>
      <c r="N15" s="44"/>
    </row>
    <row r="16" spans="1:14" ht="102.6" customHeight="1" x14ac:dyDescent="0.3">
      <c r="A16" s="54" t="s">
        <v>8</v>
      </c>
      <c r="B16" s="48"/>
      <c r="C16" s="53"/>
      <c r="D16" s="60"/>
      <c r="E16" s="116"/>
      <c r="F16" s="116"/>
      <c r="G16" s="116"/>
      <c r="H16" s="114"/>
      <c r="I16" s="114"/>
      <c r="J16" s="114"/>
      <c r="K16" s="114"/>
      <c r="L16" s="115"/>
      <c r="M16" s="50"/>
      <c r="N16" s="44"/>
    </row>
    <row r="17" spans="1:14" ht="45.6" customHeight="1" x14ac:dyDescent="0.3">
      <c r="A17" s="44"/>
      <c r="B17" s="48"/>
      <c r="C17" s="53"/>
      <c r="D17" s="60"/>
      <c r="E17" s="116"/>
      <c r="F17" s="116"/>
      <c r="G17" s="116"/>
      <c r="H17" s="114"/>
      <c r="I17" s="114"/>
      <c r="J17" s="114"/>
      <c r="K17" s="114"/>
      <c r="L17" s="115"/>
      <c r="M17" s="50"/>
      <c r="N17" s="44"/>
    </row>
    <row r="18" spans="1:14" ht="116.55" customHeight="1" x14ac:dyDescent="0.3">
      <c r="A18" s="44"/>
      <c r="B18" s="48"/>
      <c r="C18" s="53"/>
      <c r="D18" s="60"/>
      <c r="E18" s="116"/>
      <c r="F18" s="116"/>
      <c r="G18" s="116"/>
      <c r="H18" s="114"/>
      <c r="I18" s="114"/>
      <c r="J18" s="114"/>
      <c r="K18" s="114"/>
      <c r="L18" s="115"/>
      <c r="M18" s="50"/>
      <c r="N18" s="44"/>
    </row>
    <row r="19" spans="1:14" ht="66.599999999999994" customHeight="1" x14ac:dyDescent="0.3">
      <c r="A19" s="44"/>
      <c r="B19" s="48"/>
      <c r="C19" s="53"/>
      <c r="D19" s="60"/>
      <c r="E19" s="116"/>
      <c r="F19" s="116"/>
      <c r="G19" s="116"/>
      <c r="H19" s="116"/>
      <c r="I19" s="114"/>
      <c r="J19" s="114"/>
      <c r="K19" s="114"/>
      <c r="L19" s="115"/>
      <c r="M19" s="50"/>
      <c r="N19" s="44"/>
    </row>
    <row r="20" spans="1:14" ht="55.5" customHeight="1" x14ac:dyDescent="0.3">
      <c r="A20" s="44"/>
      <c r="B20" s="48"/>
      <c r="C20" s="53"/>
      <c r="D20" s="60"/>
      <c r="E20" s="116"/>
      <c r="F20" s="116"/>
      <c r="G20" s="116"/>
      <c r="H20" s="114"/>
      <c r="I20" s="114"/>
      <c r="J20" s="114"/>
      <c r="K20" s="114"/>
      <c r="L20" s="115"/>
      <c r="M20" s="50"/>
      <c r="N20" s="44"/>
    </row>
    <row r="21" spans="1:14" ht="51" customHeight="1" x14ac:dyDescent="0.3">
      <c r="A21" s="44"/>
      <c r="B21" s="48"/>
      <c r="C21" s="55"/>
      <c r="D21" s="56"/>
      <c r="E21" s="119"/>
      <c r="F21" s="119"/>
      <c r="G21" s="119"/>
      <c r="H21" s="120"/>
      <c r="I21" s="120"/>
      <c r="J21" s="120"/>
      <c r="K21" s="120"/>
      <c r="L21" s="121"/>
      <c r="M21" s="50"/>
      <c r="N21" s="44"/>
    </row>
    <row r="22" spans="1:14" x14ac:dyDescent="0.3">
      <c r="A22" s="44"/>
      <c r="B22" s="48"/>
      <c r="C22" s="64"/>
      <c r="D22" s="64"/>
      <c r="E22" s="118"/>
      <c r="F22" s="118"/>
      <c r="G22" s="118"/>
      <c r="H22" s="118"/>
      <c r="I22" s="118"/>
      <c r="J22" s="118"/>
      <c r="K22" s="118"/>
      <c r="L22" s="118"/>
      <c r="M22" s="50"/>
      <c r="N22" s="44"/>
    </row>
    <row r="23" spans="1:14" x14ac:dyDescent="0.3">
      <c r="A23" s="44"/>
      <c r="B23" s="48"/>
      <c r="C23" s="64"/>
      <c r="D23" s="64"/>
      <c r="E23" s="118"/>
      <c r="F23" s="118"/>
      <c r="G23" s="118"/>
      <c r="H23" s="118"/>
      <c r="I23" s="118"/>
      <c r="J23" s="118"/>
      <c r="K23" s="118"/>
      <c r="L23" s="118"/>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23:G23"/>
    <mergeCell ref="H23:L23"/>
    <mergeCell ref="E19:G19"/>
    <mergeCell ref="H19:L19"/>
    <mergeCell ref="E20:G20"/>
    <mergeCell ref="H20:L20"/>
    <mergeCell ref="E22:G22"/>
    <mergeCell ref="H22:L22"/>
    <mergeCell ref="E21:G21"/>
    <mergeCell ref="H21:L21"/>
    <mergeCell ref="E16:G16"/>
    <mergeCell ref="H16:L16"/>
    <mergeCell ref="E17:G17"/>
    <mergeCell ref="H17:L17"/>
    <mergeCell ref="E18:G18"/>
    <mergeCell ref="H18:L18"/>
    <mergeCell ref="E13:G13"/>
    <mergeCell ref="H13:L13"/>
    <mergeCell ref="E14:G14"/>
    <mergeCell ref="H14:L14"/>
    <mergeCell ref="E15:G15"/>
    <mergeCell ref="H15:L15"/>
    <mergeCell ref="E10:G10"/>
    <mergeCell ref="H10:L10"/>
    <mergeCell ref="E11:G11"/>
    <mergeCell ref="H11:L11"/>
    <mergeCell ref="E12:G12"/>
    <mergeCell ref="H12:L12"/>
    <mergeCell ref="E7:G7"/>
    <mergeCell ref="H7:L7"/>
    <mergeCell ref="E8:G8"/>
    <mergeCell ref="H8:L8"/>
    <mergeCell ref="E9:G9"/>
    <mergeCell ref="H9:L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C1" zoomScale="54" zoomScaleNormal="30" workbookViewId="0">
      <selection activeCell="L16" sqref="L16"/>
    </sheetView>
  </sheetViews>
  <sheetFormatPr defaultColWidth="9.21875" defaultRowHeight="14.4" x14ac:dyDescent="0.3"/>
  <cols>
    <col min="1" max="3" width="9.21875" style="6"/>
    <col min="4" max="4" width="44.77734375" style="6" customWidth="1"/>
    <col min="5" max="11" width="9.21875" style="6"/>
    <col min="12" max="12" width="39" style="6" customWidth="1"/>
    <col min="13" max="16" width="9.21875" style="6"/>
    <col min="17" max="17" width="33.5546875" bestFit="1" customWidth="1"/>
    <col min="18" max="18" width="39.44140625" bestFit="1" customWidth="1"/>
    <col min="19" max="19" width="255.5546875" bestFit="1" customWidth="1"/>
    <col min="20" max="16384" width="9.21875" style="6"/>
  </cols>
  <sheetData>
    <row r="1" spans="2:19" x14ac:dyDescent="0.3">
      <c r="B1" s="3"/>
      <c r="C1" s="4"/>
      <c r="D1" s="4"/>
      <c r="E1" s="4"/>
      <c r="F1" s="4"/>
      <c r="G1" s="4"/>
      <c r="H1" s="4"/>
      <c r="I1" s="4"/>
      <c r="J1" s="4"/>
      <c r="K1" s="4"/>
      <c r="L1" s="4"/>
      <c r="M1" s="4"/>
      <c r="N1" s="4"/>
      <c r="O1" s="5"/>
      <c r="Q1" t="s">
        <v>9</v>
      </c>
      <c r="R1" t="s">
        <v>10</v>
      </c>
      <c r="S1" t="s">
        <v>11</v>
      </c>
    </row>
    <row r="2" spans="2:19" x14ac:dyDescent="0.3">
      <c r="B2" s="8"/>
      <c r="O2" s="7"/>
      <c r="Q2" t="s">
        <v>12</v>
      </c>
      <c r="R2" s="20" t="s">
        <v>13</v>
      </c>
      <c r="S2" t="s">
        <v>14</v>
      </c>
    </row>
    <row r="3" spans="2:19" ht="34.799999999999997" x14ac:dyDescent="0.55000000000000004">
      <c r="B3" s="8"/>
      <c r="C3" s="12" t="s">
        <v>15</v>
      </c>
      <c r="D3" s="13"/>
      <c r="E3" s="13"/>
      <c r="O3" s="7"/>
      <c r="Q3" t="s">
        <v>12</v>
      </c>
      <c r="R3" s="20" t="s">
        <v>16</v>
      </c>
      <c r="S3" t="s">
        <v>17</v>
      </c>
    </row>
    <row r="4" spans="2:19" x14ac:dyDescent="0.3">
      <c r="B4" s="8"/>
      <c r="O4" s="7"/>
      <c r="Q4" t="s">
        <v>12</v>
      </c>
      <c r="R4" s="20" t="s">
        <v>18</v>
      </c>
      <c r="S4" t="s">
        <v>19</v>
      </c>
    </row>
    <row r="5" spans="2:19" ht="14.55" customHeight="1" x14ac:dyDescent="0.3">
      <c r="B5" s="8"/>
      <c r="C5" s="122" t="s">
        <v>20</v>
      </c>
      <c r="D5" s="122"/>
      <c r="E5" s="122"/>
      <c r="F5" s="122"/>
      <c r="G5" s="122"/>
      <c r="H5" s="122"/>
      <c r="I5" s="122"/>
      <c r="J5" s="122"/>
      <c r="K5" s="122"/>
      <c r="L5" s="122"/>
      <c r="O5" s="7"/>
      <c r="Q5" t="s">
        <v>12</v>
      </c>
      <c r="R5" s="20" t="s">
        <v>21</v>
      </c>
      <c r="S5" t="s">
        <v>22</v>
      </c>
    </row>
    <row r="6" spans="2:19" x14ac:dyDescent="0.3">
      <c r="B6" s="8"/>
      <c r="C6" s="122"/>
      <c r="D6" s="122"/>
      <c r="E6" s="122"/>
      <c r="F6" s="122"/>
      <c r="G6" s="122"/>
      <c r="H6" s="122"/>
      <c r="I6" s="122"/>
      <c r="J6" s="122"/>
      <c r="K6" s="122"/>
      <c r="L6" s="122"/>
      <c r="O6" s="7"/>
      <c r="Q6" t="s">
        <v>12</v>
      </c>
      <c r="R6" s="20" t="s">
        <v>23</v>
      </c>
      <c r="S6" t="s">
        <v>24</v>
      </c>
    </row>
    <row r="7" spans="2:19" x14ac:dyDescent="0.3">
      <c r="B7" s="8"/>
      <c r="C7" s="122"/>
      <c r="D7" s="122"/>
      <c r="E7" s="122"/>
      <c r="F7" s="122"/>
      <c r="G7" s="122"/>
      <c r="H7" s="122"/>
      <c r="I7" s="122"/>
      <c r="J7" s="122"/>
      <c r="K7" s="122"/>
      <c r="L7" s="122"/>
      <c r="O7" s="7"/>
      <c r="Q7" t="s">
        <v>25</v>
      </c>
      <c r="R7" s="21" t="s">
        <v>13</v>
      </c>
      <c r="S7" t="s">
        <v>26</v>
      </c>
    </row>
    <row r="8" spans="2:19" x14ac:dyDescent="0.3">
      <c r="B8" s="8"/>
      <c r="C8" s="122"/>
      <c r="D8" s="122"/>
      <c r="E8" s="122"/>
      <c r="F8" s="122"/>
      <c r="G8" s="122"/>
      <c r="H8" s="122"/>
      <c r="I8" s="122"/>
      <c r="J8" s="122"/>
      <c r="K8" s="122"/>
      <c r="L8" s="122"/>
      <c r="O8" s="7"/>
      <c r="Q8" t="s">
        <v>25</v>
      </c>
      <c r="R8" s="21" t="s">
        <v>27</v>
      </c>
      <c r="S8" t="s">
        <v>28</v>
      </c>
    </row>
    <row r="9" spans="2:19" ht="15" customHeight="1" x14ac:dyDescent="0.3">
      <c r="B9" s="8"/>
      <c r="C9" s="122"/>
      <c r="D9" s="122"/>
      <c r="E9" s="122"/>
      <c r="F9" s="122"/>
      <c r="G9" s="122"/>
      <c r="H9" s="122"/>
      <c r="I9" s="122"/>
      <c r="J9" s="122"/>
      <c r="K9" s="122"/>
      <c r="L9" s="122"/>
      <c r="O9" s="7"/>
      <c r="Q9" t="s">
        <v>25</v>
      </c>
      <c r="R9" s="21" t="s">
        <v>29</v>
      </c>
      <c r="S9" t="s">
        <v>30</v>
      </c>
    </row>
    <row r="10" spans="2:19" ht="17.55" customHeight="1" x14ac:dyDescent="0.3">
      <c r="B10" s="8"/>
      <c r="C10" s="122"/>
      <c r="D10" s="122"/>
      <c r="E10" s="122"/>
      <c r="F10" s="122"/>
      <c r="G10" s="122"/>
      <c r="H10" s="122"/>
      <c r="I10" s="122"/>
      <c r="J10" s="122"/>
      <c r="K10" s="122"/>
      <c r="L10" s="122"/>
      <c r="O10" s="7"/>
      <c r="Q10" t="s">
        <v>25</v>
      </c>
      <c r="R10" s="61" t="s">
        <v>31</v>
      </c>
      <c r="S10" t="s">
        <v>32</v>
      </c>
    </row>
    <row r="11" spans="2:19" ht="28.8" x14ac:dyDescent="0.3">
      <c r="B11" s="8"/>
      <c r="C11" s="122"/>
      <c r="D11" s="122"/>
      <c r="E11" s="122"/>
      <c r="F11" s="122"/>
      <c r="G11" s="122"/>
      <c r="H11" s="122"/>
      <c r="I11" s="122"/>
      <c r="J11" s="122"/>
      <c r="K11" s="122"/>
      <c r="L11" s="122"/>
      <c r="O11" s="7"/>
      <c r="Q11" t="s">
        <v>25</v>
      </c>
      <c r="R11" s="21" t="s">
        <v>33</v>
      </c>
      <c r="S11" s="63" t="s">
        <v>34</v>
      </c>
    </row>
    <row r="12" spans="2:19" ht="25.05" customHeight="1" x14ac:dyDescent="0.3">
      <c r="B12" s="8"/>
      <c r="C12" s="123"/>
      <c r="D12" s="15"/>
      <c r="E12" s="62"/>
      <c r="O12" s="7"/>
      <c r="Q12" t="s">
        <v>25</v>
      </c>
      <c r="R12" s="21" t="s">
        <v>35</v>
      </c>
      <c r="S12" t="s">
        <v>36</v>
      </c>
    </row>
    <row r="13" spans="2:19" ht="25.05" customHeight="1" x14ac:dyDescent="0.3">
      <c r="B13" s="8"/>
      <c r="C13" s="123"/>
      <c r="D13" s="15"/>
      <c r="E13" s="62"/>
      <c r="O13" s="7"/>
      <c r="Q13" t="s">
        <v>25</v>
      </c>
      <c r="R13" s="21" t="s">
        <v>37</v>
      </c>
      <c r="S13" t="s">
        <v>38</v>
      </c>
    </row>
    <row r="14" spans="2:19" ht="25.05" customHeight="1" x14ac:dyDescent="0.3">
      <c r="B14" s="8"/>
      <c r="C14" s="123"/>
      <c r="D14" s="15"/>
      <c r="E14" s="62"/>
      <c r="O14" s="7"/>
      <c r="Q14" t="s">
        <v>25</v>
      </c>
      <c r="R14" s="21" t="s">
        <v>21</v>
      </c>
      <c r="S14" t="s">
        <v>39</v>
      </c>
    </row>
    <row r="15" spans="2:19" ht="25.05" customHeight="1" x14ac:dyDescent="0.3">
      <c r="B15" s="8"/>
      <c r="C15" s="123"/>
      <c r="D15" s="15"/>
      <c r="E15" s="62"/>
      <c r="O15" s="7"/>
      <c r="Q15" t="s">
        <v>25</v>
      </c>
      <c r="R15" s="21" t="s">
        <v>40</v>
      </c>
      <c r="S15" t="s">
        <v>41</v>
      </c>
    </row>
    <row r="16" spans="2:19" ht="25.05" customHeight="1" x14ac:dyDescent="0.3">
      <c r="B16" s="8"/>
      <c r="C16" s="123"/>
      <c r="D16" s="15"/>
      <c r="E16" s="62"/>
      <c r="O16" s="7"/>
      <c r="Q16" t="s">
        <v>25</v>
      </c>
      <c r="R16" s="21" t="s">
        <v>42</v>
      </c>
      <c r="S16" t="s">
        <v>43</v>
      </c>
    </row>
    <row r="17" spans="2:19" ht="25.05" customHeight="1" x14ac:dyDescent="0.3">
      <c r="B17" s="8"/>
      <c r="C17" s="123"/>
      <c r="D17" s="15"/>
      <c r="E17" s="62"/>
      <c r="O17" s="7"/>
      <c r="Q17" t="s">
        <v>44</v>
      </c>
      <c r="R17" s="22" t="s">
        <v>13</v>
      </c>
      <c r="S17" t="s">
        <v>45</v>
      </c>
    </row>
    <row r="18" spans="2:19" ht="25.05" customHeight="1" x14ac:dyDescent="0.3">
      <c r="B18" s="8"/>
      <c r="C18" s="123"/>
      <c r="D18" s="15"/>
      <c r="E18" s="62"/>
      <c r="O18" s="7"/>
      <c r="Q18" t="s">
        <v>44</v>
      </c>
      <c r="R18" s="22" t="s">
        <v>46</v>
      </c>
      <c r="S18" t="s">
        <v>47</v>
      </c>
    </row>
    <row r="19" spans="2:19" ht="25.05" customHeight="1" x14ac:dyDescent="0.3">
      <c r="B19" s="8"/>
      <c r="C19" s="123"/>
      <c r="D19" s="15"/>
      <c r="E19" s="62"/>
      <c r="O19" s="7"/>
      <c r="Q19" t="s">
        <v>44</v>
      </c>
      <c r="R19" s="22" t="s">
        <v>48</v>
      </c>
      <c r="S19" t="s">
        <v>49</v>
      </c>
    </row>
    <row r="20" spans="2:19" ht="25.05" customHeight="1" x14ac:dyDescent="0.3">
      <c r="B20" s="8"/>
      <c r="C20" s="123"/>
      <c r="D20" s="15"/>
      <c r="E20" s="62"/>
      <c r="O20" s="7"/>
      <c r="Q20" t="s">
        <v>44</v>
      </c>
      <c r="R20" s="22" t="s">
        <v>50</v>
      </c>
      <c r="S20" t="s">
        <v>51</v>
      </c>
    </row>
    <row r="21" spans="2:19" ht="25.05" customHeight="1" x14ac:dyDescent="0.3">
      <c r="B21" s="8"/>
      <c r="C21" s="123"/>
      <c r="D21" s="16"/>
      <c r="E21" s="62"/>
      <c r="O21" s="7"/>
      <c r="Q21" t="s">
        <v>44</v>
      </c>
      <c r="R21" s="22" t="s">
        <v>21</v>
      </c>
      <c r="S21" t="s">
        <v>39</v>
      </c>
    </row>
    <row r="22" spans="2:19" ht="25.05" customHeight="1" x14ac:dyDescent="0.3">
      <c r="B22" s="8"/>
      <c r="C22" s="123"/>
      <c r="D22" s="15"/>
      <c r="E22" s="62"/>
      <c r="F22" s="14"/>
      <c r="G22" s="14"/>
      <c r="H22" s="14"/>
      <c r="I22" s="14"/>
      <c r="J22" s="14"/>
      <c r="K22" s="14"/>
      <c r="L22" s="14"/>
      <c r="O22" s="7"/>
      <c r="Q22" t="s">
        <v>44</v>
      </c>
      <c r="R22" s="22" t="s">
        <v>52</v>
      </c>
      <c r="S22" t="s">
        <v>53</v>
      </c>
    </row>
    <row r="23" spans="2:19" ht="25.05" customHeight="1" x14ac:dyDescent="0.3">
      <c r="B23" s="8"/>
      <c r="C23" s="123"/>
      <c r="D23" s="15"/>
      <c r="E23" s="62"/>
      <c r="F23" s="14"/>
      <c r="G23" s="14"/>
      <c r="H23" s="14"/>
      <c r="I23" s="14"/>
      <c r="J23" s="14"/>
      <c r="K23" s="14"/>
      <c r="L23" s="14"/>
      <c r="O23" s="7"/>
      <c r="Q23" t="s">
        <v>44</v>
      </c>
      <c r="R23" s="22" t="s">
        <v>54</v>
      </c>
      <c r="S23" t="s">
        <v>55</v>
      </c>
    </row>
    <row r="24" spans="2:19" ht="25.05" customHeight="1" x14ac:dyDescent="0.3">
      <c r="B24" s="8"/>
      <c r="C24" s="123"/>
      <c r="D24" s="15"/>
      <c r="E24" s="62"/>
      <c r="F24" s="14"/>
      <c r="G24" s="14"/>
      <c r="H24" s="14"/>
      <c r="I24" s="14"/>
      <c r="J24" s="14"/>
      <c r="K24" s="14"/>
      <c r="L24" s="14"/>
      <c r="O24" s="7"/>
      <c r="Q24" t="s">
        <v>44</v>
      </c>
      <c r="R24" s="22" t="s">
        <v>56</v>
      </c>
      <c r="S24" t="s">
        <v>57</v>
      </c>
    </row>
    <row r="25" spans="2:19" ht="25.05" customHeight="1" x14ac:dyDescent="0.3">
      <c r="B25" s="8"/>
      <c r="C25" s="123"/>
      <c r="D25" s="15"/>
      <c r="E25" s="62"/>
      <c r="F25" s="14"/>
      <c r="G25" s="14"/>
      <c r="H25" s="14"/>
      <c r="I25" s="14"/>
      <c r="J25" s="14"/>
      <c r="K25" s="14"/>
      <c r="L25" s="14"/>
      <c r="O25" s="7"/>
      <c r="Q25" t="s">
        <v>44</v>
      </c>
      <c r="R25" s="22" t="s">
        <v>58</v>
      </c>
      <c r="S25" t="s">
        <v>59</v>
      </c>
    </row>
    <row r="26" spans="2:19" ht="25.05" customHeight="1" x14ac:dyDescent="0.3">
      <c r="B26" s="8"/>
      <c r="C26" s="123"/>
      <c r="D26" s="15"/>
      <c r="E26" s="62"/>
      <c r="O26" s="7"/>
      <c r="Q26" t="s">
        <v>44</v>
      </c>
      <c r="R26" s="22" t="s">
        <v>40</v>
      </c>
      <c r="S26" s="34" t="s">
        <v>60</v>
      </c>
    </row>
    <row r="27" spans="2:19" ht="25.05" customHeight="1" x14ac:dyDescent="0.3">
      <c r="B27" s="8"/>
      <c r="C27" s="123"/>
      <c r="D27" s="15"/>
      <c r="E27" s="62"/>
      <c r="M27" s="19"/>
      <c r="O27" s="7"/>
      <c r="Q27" t="s">
        <v>44</v>
      </c>
      <c r="R27" s="22" t="s">
        <v>42</v>
      </c>
      <c r="S27" s="34" t="s">
        <v>61</v>
      </c>
    </row>
    <row r="28" spans="2:19" ht="25.05" customHeight="1" x14ac:dyDescent="0.3">
      <c r="B28" s="8"/>
      <c r="C28" s="123"/>
      <c r="D28" s="15"/>
      <c r="E28" s="62"/>
      <c r="M28" s="19"/>
      <c r="O28" s="7"/>
      <c r="Q28" t="s">
        <v>62</v>
      </c>
      <c r="R28" s="23" t="s">
        <v>13</v>
      </c>
      <c r="S28" t="s">
        <v>63</v>
      </c>
    </row>
    <row r="29" spans="2:19" ht="25.05" customHeight="1" x14ac:dyDescent="0.3">
      <c r="B29" s="8"/>
      <c r="O29" s="7"/>
      <c r="Q29" t="s">
        <v>62</v>
      </c>
      <c r="R29" s="23" t="s">
        <v>48</v>
      </c>
      <c r="S29" t="s">
        <v>64</v>
      </c>
    </row>
    <row r="30" spans="2:19" ht="25.05" customHeight="1" x14ac:dyDescent="0.3">
      <c r="B30" s="8"/>
      <c r="M30" s="19"/>
      <c r="O30" s="7"/>
      <c r="Q30" t="s">
        <v>62</v>
      </c>
      <c r="R30" s="24" t="s">
        <v>50</v>
      </c>
      <c r="S30" t="s">
        <v>65</v>
      </c>
    </row>
    <row r="31" spans="2:19" ht="25.05" customHeight="1" x14ac:dyDescent="0.3">
      <c r="B31" s="8"/>
      <c r="O31" s="7"/>
      <c r="Q31" t="s">
        <v>62</v>
      </c>
      <c r="R31" s="24" t="s">
        <v>66</v>
      </c>
      <c r="S31" t="s">
        <v>67</v>
      </c>
    </row>
    <row r="32" spans="2:19" ht="25.05" customHeight="1" x14ac:dyDescent="0.3">
      <c r="B32" s="8"/>
      <c r="O32" s="7"/>
      <c r="Q32" t="s">
        <v>62</v>
      </c>
      <c r="R32" s="24" t="s">
        <v>68</v>
      </c>
      <c r="S32" t="s">
        <v>69</v>
      </c>
    </row>
    <row r="33" spans="2:19" x14ac:dyDescent="0.3">
      <c r="B33" s="8"/>
      <c r="O33" s="7"/>
      <c r="Q33" t="s">
        <v>62</v>
      </c>
      <c r="R33" s="24" t="s">
        <v>70</v>
      </c>
      <c r="S33" t="s">
        <v>71</v>
      </c>
    </row>
    <row r="34" spans="2:19" x14ac:dyDescent="0.3">
      <c r="B34" s="8"/>
      <c r="O34" s="7"/>
      <c r="Q34" t="s">
        <v>62</v>
      </c>
      <c r="R34" s="24" t="s">
        <v>72</v>
      </c>
      <c r="S34" t="s">
        <v>73</v>
      </c>
    </row>
    <row r="35" spans="2:19" x14ac:dyDescent="0.3">
      <c r="B35" s="8"/>
      <c r="O35" s="7"/>
      <c r="Q35" t="s">
        <v>62</v>
      </c>
      <c r="R35" s="24" t="s">
        <v>74</v>
      </c>
      <c r="S35" t="s">
        <v>75</v>
      </c>
    </row>
    <row r="36" spans="2:19" x14ac:dyDescent="0.3">
      <c r="B36" s="8"/>
      <c r="O36" s="7"/>
      <c r="Q36" t="s">
        <v>62</v>
      </c>
      <c r="R36" s="24" t="s">
        <v>76</v>
      </c>
      <c r="S36" s="34" t="s">
        <v>77</v>
      </c>
    </row>
    <row r="37" spans="2:19" x14ac:dyDescent="0.3">
      <c r="B37" s="8"/>
      <c r="O37" s="7"/>
      <c r="Q37" t="s">
        <v>62</v>
      </c>
      <c r="R37" s="24" t="s">
        <v>78</v>
      </c>
      <c r="S37" t="s">
        <v>79</v>
      </c>
    </row>
    <row r="38" spans="2:19" x14ac:dyDescent="0.3">
      <c r="B38" s="8"/>
      <c r="O38" s="7"/>
      <c r="Q38" t="s">
        <v>62</v>
      </c>
      <c r="R38" s="25" t="s">
        <v>80</v>
      </c>
      <c r="S38" t="s">
        <v>81</v>
      </c>
    </row>
    <row r="39" spans="2:19" x14ac:dyDescent="0.3">
      <c r="B39" s="8"/>
      <c r="O39" s="7"/>
      <c r="Q39" t="s">
        <v>82</v>
      </c>
      <c r="R39" s="26" t="s">
        <v>13</v>
      </c>
      <c r="S39" t="s">
        <v>83</v>
      </c>
    </row>
    <row r="40" spans="2:19" x14ac:dyDescent="0.3">
      <c r="B40" s="8"/>
      <c r="O40" s="7"/>
      <c r="Q40" t="s">
        <v>82</v>
      </c>
      <c r="R40" s="26" t="s">
        <v>74</v>
      </c>
      <c r="S40" t="s">
        <v>84</v>
      </c>
    </row>
    <row r="41" spans="2:19" x14ac:dyDescent="0.3">
      <c r="B41" s="8"/>
      <c r="O41" s="7"/>
      <c r="Q41" t="s">
        <v>82</v>
      </c>
      <c r="R41" s="26" t="s">
        <v>85</v>
      </c>
      <c r="S41" t="s">
        <v>86</v>
      </c>
    </row>
    <row r="42" spans="2:19" x14ac:dyDescent="0.3">
      <c r="B42" s="8"/>
      <c r="O42" s="7"/>
      <c r="Q42" t="s">
        <v>82</v>
      </c>
      <c r="R42" s="29" t="s">
        <v>87</v>
      </c>
      <c r="S42" t="s">
        <v>88</v>
      </c>
    </row>
    <row r="43" spans="2:19" x14ac:dyDescent="0.3">
      <c r="B43" s="8"/>
      <c r="O43" s="7"/>
      <c r="Q43" t="s">
        <v>82</v>
      </c>
      <c r="R43" s="26" t="s">
        <v>89</v>
      </c>
      <c r="S43" s="34" t="s">
        <v>90</v>
      </c>
    </row>
    <row r="44" spans="2:19" x14ac:dyDescent="0.3">
      <c r="B44" s="8"/>
      <c r="O44" s="7"/>
      <c r="Q44" t="s">
        <v>82</v>
      </c>
      <c r="R44" s="26" t="s">
        <v>21</v>
      </c>
      <c r="S44" s="34" t="s">
        <v>91</v>
      </c>
    </row>
    <row r="45" spans="2:19" x14ac:dyDescent="0.3">
      <c r="B45" s="8"/>
      <c r="O45" s="7"/>
      <c r="Q45" t="s">
        <v>92</v>
      </c>
      <c r="R45" s="27" t="s">
        <v>13</v>
      </c>
      <c r="S45" t="s">
        <v>93</v>
      </c>
    </row>
    <row r="46" spans="2:19" x14ac:dyDescent="0.3">
      <c r="B46" s="8"/>
      <c r="O46" s="7"/>
      <c r="Q46" t="s">
        <v>92</v>
      </c>
      <c r="R46" s="28" t="s">
        <v>74</v>
      </c>
      <c r="S46" t="s">
        <v>94</v>
      </c>
    </row>
    <row r="47" spans="2:19" x14ac:dyDescent="0.3">
      <c r="B47" s="8"/>
      <c r="O47" s="7"/>
      <c r="Q47" t="s">
        <v>92</v>
      </c>
      <c r="R47" s="28" t="s">
        <v>89</v>
      </c>
      <c r="S47" t="s">
        <v>95</v>
      </c>
    </row>
    <row r="48" spans="2:19" x14ac:dyDescent="0.3">
      <c r="B48" s="8"/>
      <c r="O48" s="7"/>
      <c r="Q48" t="s">
        <v>92</v>
      </c>
      <c r="R48" s="28" t="s">
        <v>96</v>
      </c>
      <c r="S48" s="34" t="s">
        <v>97</v>
      </c>
    </row>
    <row r="49" spans="2:19" x14ac:dyDescent="0.3">
      <c r="B49" s="8"/>
      <c r="O49" s="7"/>
      <c r="P49" s="19"/>
      <c r="Q49" t="s">
        <v>92</v>
      </c>
      <c r="R49" s="28" t="s">
        <v>98</v>
      </c>
      <c r="S49" s="34" t="s">
        <v>99</v>
      </c>
    </row>
    <row r="50" spans="2:19" x14ac:dyDescent="0.3">
      <c r="B50" s="8"/>
      <c r="O50" s="7"/>
      <c r="Q50" t="s">
        <v>92</v>
      </c>
      <c r="R50" s="28" t="s">
        <v>100</v>
      </c>
      <c r="S50" t="s">
        <v>101</v>
      </c>
    </row>
    <row r="51" spans="2:19" x14ac:dyDescent="0.3">
      <c r="B51" s="8"/>
      <c r="O51" s="7"/>
      <c r="P51" s="19"/>
      <c r="Q51" t="s">
        <v>92</v>
      </c>
      <c r="R51" s="28" t="s">
        <v>102</v>
      </c>
      <c r="S51" t="s">
        <v>103</v>
      </c>
    </row>
    <row r="52" spans="2:19" x14ac:dyDescent="0.3">
      <c r="B52" s="8"/>
      <c r="O52" s="7"/>
      <c r="Q52" t="s">
        <v>92</v>
      </c>
      <c r="R52" s="28" t="s">
        <v>104</v>
      </c>
      <c r="S52" t="s">
        <v>105</v>
      </c>
    </row>
    <row r="53" spans="2:19" x14ac:dyDescent="0.3">
      <c r="B53" s="8"/>
      <c r="O53" s="7"/>
      <c r="Q53" t="s">
        <v>92</v>
      </c>
      <c r="R53" s="28" t="s">
        <v>106</v>
      </c>
      <c r="S53" t="s">
        <v>107</v>
      </c>
    </row>
    <row r="54" spans="2:19" x14ac:dyDescent="0.3">
      <c r="B54" s="9"/>
      <c r="C54" s="10"/>
      <c r="D54" s="10"/>
      <c r="E54" s="10"/>
      <c r="F54" s="10"/>
      <c r="G54" s="10"/>
      <c r="H54" s="10"/>
      <c r="I54" s="10"/>
      <c r="J54" s="10"/>
      <c r="K54" s="10"/>
      <c r="L54" s="10"/>
      <c r="M54" s="10"/>
      <c r="N54" s="10"/>
      <c r="O54" s="11"/>
      <c r="Q54" t="s">
        <v>92</v>
      </c>
      <c r="R54" s="28" t="s">
        <v>108</v>
      </c>
      <c r="S54" t="s">
        <v>109</v>
      </c>
    </row>
    <row r="55" spans="2:19" x14ac:dyDescent="0.3">
      <c r="Q55" t="s">
        <v>110</v>
      </c>
      <c r="R55" s="23" t="s">
        <v>13</v>
      </c>
      <c r="S55" t="s">
        <v>111</v>
      </c>
    </row>
    <row r="56" spans="2:19" x14ac:dyDescent="0.3">
      <c r="Q56" t="s">
        <v>110</v>
      </c>
      <c r="R56" s="23" t="s">
        <v>112</v>
      </c>
      <c r="S56" t="s">
        <v>113</v>
      </c>
    </row>
    <row r="57" spans="2:19" x14ac:dyDescent="0.3">
      <c r="Q57" t="s">
        <v>110</v>
      </c>
      <c r="R57" s="23" t="s">
        <v>114</v>
      </c>
      <c r="S57" t="s">
        <v>115</v>
      </c>
    </row>
  </sheetData>
  <mergeCells count="3">
    <mergeCell ref="C5:L11"/>
    <mergeCell ref="C12:C17"/>
    <mergeCell ref="C18:C28"/>
  </mergeCells>
  <conditionalFormatting sqref="R13">
    <cfRule type="expression" dxfId="133"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topLeftCell="A4" zoomScale="50" zoomScaleNormal="50" workbookViewId="0">
      <selection activeCell="C8" sqref="C8"/>
    </sheetView>
  </sheetViews>
  <sheetFormatPr defaultColWidth="9.21875" defaultRowHeight="14.4" x14ac:dyDescent="0.3"/>
  <cols>
    <col min="1" max="3" width="9.21875" style="6"/>
    <col min="4" max="4" width="44.77734375" style="6" customWidth="1"/>
    <col min="5" max="11" width="9.21875" style="6"/>
    <col min="12" max="12" width="39" style="6" customWidth="1"/>
    <col min="13" max="16384" width="9.2187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170</v>
      </c>
      <c r="D7" s="13"/>
      <c r="E7" s="13"/>
      <c r="O7" s="7"/>
    </row>
    <row r="8" spans="2:15" x14ac:dyDescent="0.3">
      <c r="B8" s="8"/>
      <c r="O8" s="7"/>
    </row>
    <row r="9" spans="2:15" ht="15" customHeight="1" x14ac:dyDescent="0.3">
      <c r="B9" s="8"/>
      <c r="C9" s="122" t="s">
        <v>116</v>
      </c>
      <c r="D9" s="122"/>
      <c r="E9" s="122"/>
      <c r="F9" s="122"/>
      <c r="G9" s="122"/>
      <c r="H9" s="122"/>
      <c r="I9" s="122"/>
      <c r="J9" s="122"/>
      <c r="K9" s="122"/>
      <c r="L9" s="122"/>
      <c r="O9" s="7"/>
    </row>
    <row r="10" spans="2:15" x14ac:dyDescent="0.3">
      <c r="B10" s="8"/>
      <c r="C10" s="122"/>
      <c r="D10" s="122"/>
      <c r="E10" s="122"/>
      <c r="F10" s="122"/>
      <c r="G10" s="122"/>
      <c r="H10" s="122"/>
      <c r="I10" s="122"/>
      <c r="J10" s="122"/>
      <c r="K10" s="122"/>
      <c r="L10" s="122"/>
      <c r="O10" s="7"/>
    </row>
    <row r="11" spans="2:15" x14ac:dyDescent="0.3">
      <c r="B11" s="8"/>
      <c r="C11" s="122"/>
      <c r="D11" s="122"/>
      <c r="E11" s="122"/>
      <c r="F11" s="122"/>
      <c r="G11" s="122"/>
      <c r="H11" s="122"/>
      <c r="I11" s="122"/>
      <c r="J11" s="122"/>
      <c r="K11" s="122"/>
      <c r="L11" s="122"/>
      <c r="O11" s="7"/>
    </row>
    <row r="12" spans="2:15" ht="25.05" customHeight="1" x14ac:dyDescent="0.3">
      <c r="B12" s="8"/>
      <c r="C12" s="122"/>
      <c r="D12" s="122"/>
      <c r="E12" s="122"/>
      <c r="F12" s="122"/>
      <c r="G12" s="122"/>
      <c r="H12" s="122"/>
      <c r="I12" s="122"/>
      <c r="J12" s="122"/>
      <c r="K12" s="122"/>
      <c r="L12" s="122"/>
      <c r="O12" s="7"/>
    </row>
    <row r="13" spans="2:15" ht="25.05" customHeight="1" x14ac:dyDescent="0.3">
      <c r="B13" s="8"/>
      <c r="C13" s="122"/>
      <c r="D13" s="122"/>
      <c r="E13" s="122"/>
      <c r="F13" s="122"/>
      <c r="G13" s="122"/>
      <c r="H13" s="122"/>
      <c r="I13" s="122"/>
      <c r="J13" s="122"/>
      <c r="K13" s="122"/>
      <c r="L13" s="122"/>
      <c r="O13" s="7"/>
    </row>
    <row r="14" spans="2:15" ht="25.05" customHeight="1" x14ac:dyDescent="0.3">
      <c r="B14" s="8"/>
      <c r="C14" s="17"/>
      <c r="D14" s="15"/>
      <c r="E14" s="62"/>
      <c r="O14" s="7"/>
    </row>
    <row r="15" spans="2:15" ht="25.05" customHeight="1" x14ac:dyDescent="0.3">
      <c r="B15" s="8"/>
      <c r="C15" s="17"/>
      <c r="D15" s="15"/>
      <c r="E15" s="62"/>
      <c r="O15" s="7"/>
    </row>
    <row r="16" spans="2:15" ht="25.05" customHeight="1" x14ac:dyDescent="0.3">
      <c r="B16" s="8"/>
      <c r="C16" s="123"/>
      <c r="D16" s="15"/>
      <c r="E16" s="62"/>
      <c r="O16" s="7"/>
    </row>
    <row r="17" spans="2:15" ht="25.05" customHeight="1" x14ac:dyDescent="0.3">
      <c r="B17" s="8"/>
      <c r="C17" s="123"/>
      <c r="D17" s="15"/>
      <c r="E17" s="62"/>
      <c r="O17" s="7"/>
    </row>
    <row r="18" spans="2:15" ht="25.05" customHeight="1" x14ac:dyDescent="0.3">
      <c r="B18" s="8"/>
      <c r="C18" s="123"/>
      <c r="D18" s="15"/>
      <c r="E18" s="62"/>
      <c r="O18" s="7"/>
    </row>
    <row r="19" spans="2:15" ht="25.05" customHeight="1" x14ac:dyDescent="0.3">
      <c r="B19" s="8"/>
      <c r="C19" s="123"/>
      <c r="D19" s="15"/>
      <c r="E19" s="62"/>
      <c r="O19" s="7"/>
    </row>
    <row r="20" spans="2:15" ht="25.05" customHeight="1" x14ac:dyDescent="0.3">
      <c r="B20" s="8"/>
      <c r="C20" s="123"/>
      <c r="D20" s="15"/>
      <c r="E20" s="62"/>
      <c r="O20" s="7"/>
    </row>
    <row r="21" spans="2:15" ht="25.05" customHeight="1" x14ac:dyDescent="0.3">
      <c r="B21" s="8"/>
      <c r="C21" s="123"/>
      <c r="D21" s="15"/>
      <c r="E21" s="62"/>
      <c r="O21" s="7"/>
    </row>
    <row r="22" spans="2:15" ht="25.05" customHeight="1" x14ac:dyDescent="0.3">
      <c r="B22" s="8"/>
      <c r="C22" s="123"/>
      <c r="D22" s="15"/>
      <c r="E22" s="62"/>
      <c r="O22" s="7"/>
    </row>
    <row r="23" spans="2:15" ht="25.05" customHeight="1" x14ac:dyDescent="0.3">
      <c r="B23" s="8"/>
      <c r="C23" s="123"/>
      <c r="D23" s="15"/>
      <c r="E23" s="62"/>
      <c r="O23" s="7"/>
    </row>
    <row r="24" spans="2:15" ht="25.05" customHeight="1" x14ac:dyDescent="0.3">
      <c r="B24" s="8"/>
      <c r="C24" s="123"/>
      <c r="D24" s="15"/>
      <c r="E24" s="62"/>
      <c r="O24" s="7"/>
    </row>
    <row r="25" spans="2:15" ht="25.05" customHeight="1" x14ac:dyDescent="0.3">
      <c r="B25" s="8"/>
      <c r="C25" s="123"/>
      <c r="D25" s="16"/>
      <c r="E25" s="62"/>
      <c r="O25" s="7"/>
    </row>
    <row r="26" spans="2:15" ht="25.05" customHeight="1" x14ac:dyDescent="0.3">
      <c r="B26" s="8"/>
      <c r="C26" s="123"/>
      <c r="D26" s="15"/>
      <c r="E26" s="62"/>
      <c r="F26" s="14"/>
      <c r="G26" s="14"/>
      <c r="H26" s="14"/>
      <c r="I26" s="14"/>
      <c r="J26" s="14"/>
      <c r="K26" s="14"/>
      <c r="L26" s="14"/>
      <c r="O26" s="7"/>
    </row>
    <row r="27" spans="2:15" ht="25.05" customHeight="1" x14ac:dyDescent="0.3">
      <c r="B27" s="8"/>
      <c r="C27" s="123"/>
      <c r="D27" s="15"/>
      <c r="E27" s="62"/>
      <c r="F27" s="14"/>
      <c r="G27" s="14"/>
      <c r="H27" s="14"/>
      <c r="I27" s="14"/>
      <c r="J27" s="14"/>
      <c r="K27" s="14"/>
      <c r="L27" s="14"/>
      <c r="O27" s="7"/>
    </row>
    <row r="28" spans="2:15" ht="25.05" customHeight="1" x14ac:dyDescent="0.3">
      <c r="B28" s="8"/>
      <c r="C28" s="123"/>
      <c r="D28" s="15"/>
      <c r="E28" s="62"/>
      <c r="F28" s="14"/>
      <c r="G28" s="14"/>
      <c r="H28" s="14"/>
      <c r="I28" s="14"/>
      <c r="J28" s="14"/>
      <c r="K28" s="14"/>
      <c r="L28" s="14"/>
      <c r="O28" s="7"/>
    </row>
    <row r="29" spans="2:15" ht="25.05" customHeight="1" x14ac:dyDescent="0.3">
      <c r="B29" s="8"/>
      <c r="C29" s="123"/>
      <c r="D29" s="15"/>
      <c r="E29" s="62"/>
      <c r="F29" s="14"/>
      <c r="G29" s="14"/>
      <c r="H29" s="14"/>
      <c r="I29" s="14"/>
      <c r="J29" s="14"/>
      <c r="K29" s="14"/>
      <c r="L29" s="14"/>
      <c r="O29" s="7"/>
    </row>
    <row r="30" spans="2:15" ht="25.05" customHeight="1" x14ac:dyDescent="0.3">
      <c r="B30" s="8"/>
      <c r="C30" s="123"/>
      <c r="D30" s="15"/>
      <c r="E30" s="62"/>
      <c r="O30" s="7"/>
    </row>
    <row r="31" spans="2:15" ht="25.05" customHeight="1" x14ac:dyDescent="0.3">
      <c r="B31" s="8"/>
      <c r="C31" s="123"/>
      <c r="D31" s="15"/>
      <c r="E31" s="62"/>
      <c r="M31" s="19"/>
      <c r="O31" s="7"/>
    </row>
    <row r="32" spans="2:15" ht="25.05" customHeight="1" x14ac:dyDescent="0.3">
      <c r="B32" s="8"/>
      <c r="C32" s="123"/>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4"/>
  <sheetViews>
    <sheetView topLeftCell="E1" zoomScale="115" zoomScaleNormal="115" workbookViewId="0">
      <selection activeCell="D10" sqref="D10"/>
    </sheetView>
  </sheetViews>
  <sheetFormatPr defaultRowHeight="14.4" x14ac:dyDescent="0.3"/>
  <cols>
    <col min="3" max="3" width="39.44140625" bestFit="1" customWidth="1"/>
    <col min="4" max="4" width="64.21875" style="31" bestFit="1" customWidth="1"/>
    <col min="5" max="5" width="255.77734375" bestFit="1" customWidth="1"/>
    <col min="6" max="6" width="20.109375" bestFit="1" customWidth="1"/>
  </cols>
  <sheetData>
    <row r="1" spans="2:6" x14ac:dyDescent="0.3">
      <c r="B1" t="s">
        <v>13</v>
      </c>
      <c r="C1" t="s">
        <v>16</v>
      </c>
      <c r="D1" t="s">
        <v>18</v>
      </c>
      <c r="E1" t="s">
        <v>21</v>
      </c>
      <c r="F1" t="s">
        <v>23</v>
      </c>
    </row>
    <row r="2" spans="2:6" ht="28.8" x14ac:dyDescent="0.3">
      <c r="B2">
        <v>1</v>
      </c>
      <c r="C2" t="s">
        <v>197</v>
      </c>
      <c r="D2" s="31" t="str">
        <f>SUBSTITUTE(SUBSTITUTE(SUBSTITUTE(SUBSTITUTE(LOWER(C2),"&amp;",""),"-",""),"  ","-")," ","-")</f>
        <v>production-planning</v>
      </c>
      <c r="E2" s="63" t="s">
        <v>297</v>
      </c>
    </row>
    <row r="3" spans="2:6" ht="32.549999999999997" customHeight="1" x14ac:dyDescent="0.3">
      <c r="B3" s="31">
        <v>2</v>
      </c>
      <c r="C3" s="91" t="s">
        <v>198</v>
      </c>
      <c r="D3" s="31" t="str">
        <f>SUBSTITUTE(SUBSTITUTE(SUBSTITUTE(SUBSTITUTE(LOWER(C3),"&amp;",""),"-",""),"  ","-")," ","-")</f>
        <v>order-management</v>
      </c>
      <c r="E3" s="92" t="s">
        <v>298</v>
      </c>
      <c r="F3" s="31"/>
    </row>
    <row r="4" spans="2:6" x14ac:dyDescent="0.3">
      <c r="B4" s="31">
        <v>3</v>
      </c>
      <c r="C4" s="91" t="s">
        <v>199</v>
      </c>
      <c r="D4" s="31" t="str">
        <f>SUBSTITUTE(SUBSTITUTE(SUBSTITUTE(SUBSTITUTE(LOWER(C4),"&amp;",""),"-",""),"  ","-")," ","-")</f>
        <v>operational-monitoring</v>
      </c>
      <c r="E4" s="92" t="s">
        <v>299</v>
      </c>
      <c r="F4" s="31"/>
    </row>
  </sheetData>
  <conditionalFormatting sqref="D2:D4">
    <cfRule type="notContainsBlanks" dxfId="131" priority="1">
      <formula>LEN(TRIM(D2))&gt;0</formula>
    </cfRule>
  </conditionalFormatting>
  <dataValidations count="1">
    <dataValidation type="list" allowBlank="1" showInputMessage="1" showErrorMessage="1" sqref="F2:F4"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6"/>
  <sheetViews>
    <sheetView zoomScale="98" zoomScaleNormal="98" workbookViewId="0">
      <selection activeCell="E9" sqref="E9"/>
    </sheetView>
  </sheetViews>
  <sheetFormatPr defaultColWidth="8.77734375" defaultRowHeight="14.4" x14ac:dyDescent="0.3"/>
  <cols>
    <col min="1" max="1" width="9.21875" style="31" customWidth="1"/>
    <col min="3" max="3" width="61.21875" bestFit="1" customWidth="1"/>
    <col min="4" max="4" width="31.44140625" style="32" customWidth="1"/>
    <col min="5" max="5" width="94.77734375" style="31" bestFit="1" customWidth="1"/>
    <col min="6" max="6" width="28.77734375" customWidth="1"/>
    <col min="7" max="7" width="42.5546875" style="31" customWidth="1"/>
    <col min="8" max="8" width="27.109375" bestFit="1" customWidth="1"/>
    <col min="9" max="9" width="13.5546875" customWidth="1"/>
    <col min="10" max="10" width="21.33203125" style="31" customWidth="1"/>
    <col min="11" max="11" width="58.21875" bestFit="1" customWidth="1"/>
    <col min="12" max="12" width="29.5546875" style="31" customWidth="1"/>
    <col min="13" max="13" width="61.5546875" style="31" customWidth="1"/>
    <col min="14" max="14" width="68.5546875" bestFit="1" customWidth="1"/>
    <col min="15" max="15" width="35.44140625" bestFit="1" customWidth="1"/>
    <col min="16" max="16" width="38.5546875" bestFit="1" customWidth="1"/>
    <col min="17" max="17" width="23.77734375" bestFit="1" customWidth="1"/>
    <col min="18" max="18" width="9.21875"/>
    <col min="19" max="19" width="30" bestFit="1" customWidth="1"/>
    <col min="20" max="20" width="26.77734375" customWidth="1"/>
  </cols>
  <sheetData>
    <row r="1" spans="2:16" x14ac:dyDescent="0.3">
      <c r="B1" t="s">
        <v>13</v>
      </c>
      <c r="C1" t="s">
        <v>27</v>
      </c>
      <c r="D1" s="30" t="s">
        <v>176</v>
      </c>
      <c r="E1" s="30" t="s">
        <v>33</v>
      </c>
      <c r="F1" t="s">
        <v>29</v>
      </c>
      <c r="G1" s="30" t="s">
        <v>172</v>
      </c>
      <c r="H1" t="s">
        <v>31</v>
      </c>
      <c r="I1" t="s">
        <v>35</v>
      </c>
      <c r="J1" s="30" t="s">
        <v>37</v>
      </c>
      <c r="K1" t="s">
        <v>117</v>
      </c>
      <c r="L1" s="30" t="s">
        <v>118</v>
      </c>
      <c r="M1" s="30" t="s">
        <v>119</v>
      </c>
      <c r="N1" t="s">
        <v>21</v>
      </c>
      <c r="O1" t="s">
        <v>40</v>
      </c>
      <c r="P1" t="s">
        <v>42</v>
      </c>
    </row>
    <row r="2" spans="2:16" x14ac:dyDescent="0.3">
      <c r="B2" s="31">
        <v>1</v>
      </c>
      <c r="C2" s="31" t="s">
        <v>201</v>
      </c>
      <c r="D2" s="33" t="str">
        <f>Table1[[#This Row],[Data Domain]]</f>
        <v>production-planning</v>
      </c>
      <c r="E2" s="33" t="str">
        <f>IF(Table1[[#This Row],[Has Parent]]="Yes",Table1[[#This Row],[Unique Domain Qualified Name]]&amp;"--"&amp;Table1[[#This Row],[Parent entity Qualified Name3]]&amp;"--"&amp;Table1[[#This Row],[Child entity qualified name2]],Table1[[#This Row],[Unique Domain Qualified Name]]&amp;"--"&amp;Table1[[#This Row],[Child entity qualified name2]])</f>
        <v>production-planning--production-performance</v>
      </c>
      <c r="F2" s="90" t="s">
        <v>200</v>
      </c>
      <c r="G2" s="89" t="str">
        <f>SUBSTITUTE(SUBSTITUTE(SUBSTITUTE(SUBSTITUTE(LOWER(F2),"&amp;",""),"-",""),"  ","-")," ","-")</f>
        <v>production-performance</v>
      </c>
      <c r="H2" s="31" t="s">
        <v>179</v>
      </c>
      <c r="I2" s="31" t="s">
        <v>180</v>
      </c>
      <c r="K2" s="31"/>
      <c r="L2" s="33"/>
      <c r="M2" s="33"/>
      <c r="N2" s="74" t="s">
        <v>292</v>
      </c>
      <c r="O2" s="31" t="s">
        <v>273</v>
      </c>
      <c r="P2" s="31" t="s">
        <v>275</v>
      </c>
    </row>
    <row r="3" spans="2:16" x14ac:dyDescent="0.3">
      <c r="B3">
        <v>2</v>
      </c>
      <c r="C3" s="31" t="s">
        <v>201</v>
      </c>
      <c r="D3" s="33" t="str">
        <f>Table1[[#This Row],[Data Domain]]</f>
        <v>production-planning</v>
      </c>
      <c r="E3" s="33" t="str">
        <f>IF(Table1[[#This Row],[Has Parent]]="Yes",Table1[[#This Row],[Unique Domain Qualified Name]]&amp;"--"&amp;Table1[[#This Row],[Parent entity Qualified Name3]]&amp;"--"&amp;Table1[[#This Row],[Child entity qualified name2]],Table1[[#This Row],[Unique Domain Qualified Name]]&amp;"--"&amp;Table1[[#This Row],[Child entity qualified name2]])</f>
        <v>production-planning--inventory-and-capacity-planning</v>
      </c>
      <c r="F3" t="s">
        <v>202</v>
      </c>
      <c r="G3" s="33" t="str">
        <f>SUBSTITUTE(SUBSTITUTE(SUBSTITUTE(SUBSTITUTE(LOWER(F3),"&amp;",""),"-",""),"  ","-")," ","-")</f>
        <v>inventory-and-capacity-planning</v>
      </c>
      <c r="H3" t="s">
        <v>179</v>
      </c>
      <c r="I3" t="s">
        <v>180</v>
      </c>
      <c r="L3" s="33"/>
      <c r="M3" s="33"/>
      <c r="N3" t="s">
        <v>293</v>
      </c>
      <c r="O3" t="s">
        <v>277</v>
      </c>
      <c r="P3" s="31" t="s">
        <v>279</v>
      </c>
    </row>
    <row r="4" spans="2:16" x14ac:dyDescent="0.3">
      <c r="B4">
        <v>3</v>
      </c>
      <c r="C4" s="31" t="s">
        <v>204</v>
      </c>
      <c r="D4" s="33" t="str">
        <f>Table1[[#This Row],[Data Domain]]</f>
        <v>operational-monitoring</v>
      </c>
      <c r="E4" s="33" t="str">
        <f>IF(Table1[[#This Row],[Has Parent]]="Yes",Table1[[#This Row],[Unique Domain Qualified Name]]&amp;"--"&amp;Table1[[#This Row],[Parent entity Qualified Name3]]&amp;"--"&amp;Table1[[#This Row],[Child entity qualified name2]],Table1[[#This Row],[Unique Domain Qualified Name]]&amp;"--"&amp;Table1[[#This Row],[Child entity qualified name2]])</f>
        <v>operational-monitoring--machine-health-metrics</v>
      </c>
      <c r="F4" t="s">
        <v>203</v>
      </c>
      <c r="G4" s="33" t="str">
        <f t="shared" ref="G4:G6" si="0">SUBSTITUTE(SUBSTITUTE(SUBSTITUTE(SUBSTITUTE(LOWER(F4),"&amp;",""),"-",""),"  ","-")," ","-")</f>
        <v>machine-health-metrics</v>
      </c>
      <c r="H4" t="s">
        <v>179</v>
      </c>
      <c r="I4" t="s">
        <v>180</v>
      </c>
      <c r="L4" s="33"/>
      <c r="M4" s="33"/>
      <c r="N4" t="s">
        <v>294</v>
      </c>
      <c r="O4" t="s">
        <v>281</v>
      </c>
      <c r="P4" t="s">
        <v>283</v>
      </c>
    </row>
    <row r="5" spans="2:16" x14ac:dyDescent="0.3">
      <c r="B5">
        <v>4</v>
      </c>
      <c r="C5" s="31" t="s">
        <v>207</v>
      </c>
      <c r="D5" s="33" t="str">
        <f>Table1[[#This Row],[Data Domain]]</f>
        <v>order-management</v>
      </c>
      <c r="E5" s="33" t="str">
        <f>IF(Table1[[#This Row],[Has Parent]]="Yes",Table1[[#This Row],[Unique Domain Qualified Name]]&amp;"--"&amp;Table1[[#This Row],[Parent entity Qualified Name3]]&amp;"--"&amp;Table1[[#This Row],[Child entity qualified name2]],Table1[[#This Row],[Unique Domain Qualified Name]]&amp;"--"&amp;Table1[[#This Row],[Child entity qualified name2]])</f>
        <v>order-management--order-processing-and-fulfillment</v>
      </c>
      <c r="F5" t="s">
        <v>205</v>
      </c>
      <c r="G5" s="33" t="str">
        <f t="shared" si="0"/>
        <v>order-processing-and-fulfillment</v>
      </c>
      <c r="H5" t="s">
        <v>179</v>
      </c>
      <c r="I5" t="s">
        <v>180</v>
      </c>
      <c r="L5" s="33"/>
      <c r="M5" s="33"/>
      <c r="N5" t="s">
        <v>295</v>
      </c>
      <c r="O5" t="s">
        <v>285</v>
      </c>
      <c r="P5" t="s">
        <v>287</v>
      </c>
    </row>
    <row r="6" spans="2:16" x14ac:dyDescent="0.3">
      <c r="B6" s="31">
        <v>5</v>
      </c>
      <c r="C6" s="31" t="s">
        <v>207</v>
      </c>
      <c r="D6" s="33" t="str">
        <f>Table1[[#This Row],[Data Domain]]</f>
        <v>order-management</v>
      </c>
      <c r="E6" s="33" t="str">
        <f>IF(Table1[[#This Row],[Has Parent]]="Yes",Table1[[#This Row],[Unique Domain Qualified Name]]&amp;"--"&amp;Table1[[#This Row],[Parent entity Qualified Name3]]&amp;"--"&amp;Table1[[#This Row],[Child entity qualified name2]],Table1[[#This Row],[Unique Domain Qualified Name]]&amp;"--"&amp;Table1[[#This Row],[Child entity qualified name2]])</f>
        <v>order-management--customer-order</v>
      </c>
      <c r="F6" t="s">
        <v>206</v>
      </c>
      <c r="G6" s="33" t="str">
        <f t="shared" si="0"/>
        <v>customer-order</v>
      </c>
      <c r="H6" t="s">
        <v>179</v>
      </c>
      <c r="I6" t="s">
        <v>180</v>
      </c>
      <c r="L6" s="33"/>
      <c r="M6" s="33"/>
      <c r="N6" t="s">
        <v>296</v>
      </c>
      <c r="O6" t="s">
        <v>287</v>
      </c>
      <c r="P6" t="s">
        <v>275</v>
      </c>
    </row>
  </sheetData>
  <phoneticPr fontId="3" type="noConversion"/>
  <conditionalFormatting sqref="J1:K1 K2 J2:J6 K5:K6">
    <cfRule type="expression" dxfId="123" priority="1">
      <formula>$I1="No"</formula>
    </cfRule>
  </conditionalFormatting>
  <conditionalFormatting sqref="K4">
    <cfRule type="expression" dxfId="122" priority="10">
      <formula>$I3="No"</formula>
    </cfRule>
  </conditionalFormatting>
  <conditionalFormatting sqref="K3">
    <cfRule type="expression" dxfId="121" priority="11">
      <formula>#REF!="No"</formula>
    </cfRule>
  </conditionalFormatting>
  <dataValidations count="5">
    <dataValidation type="list" allowBlank="1" showInputMessage="1" showErrorMessage="1" sqref="H2:I6" xr:uid="{9477104F-B9B7-42B6-9935-2FA48BCD1889}">
      <formula1>"Yes, No"</formula1>
    </dataValidation>
    <dataValidation type="custom" allowBlank="1" showInputMessage="1" showErrorMessage="1" sqref="L4 N4" xr:uid="{084DE511-78F5-4A04-A1FB-45B75A6FE937}">
      <formula1>$I3&lt;&gt;"Yes"</formula1>
    </dataValidation>
    <dataValidation type="custom" allowBlank="1" showInputMessage="1" showErrorMessage="1" sqref="L3 N3" xr:uid="{A662C423-2DCF-46B8-9BCE-079D2FEF1C82}">
      <formula1>#REF!&lt;&gt;"Yes"</formula1>
    </dataValidation>
    <dataValidation type="list" allowBlank="1" showInputMessage="1" showErrorMessage="1" sqref="K2:K6" xr:uid="{4C31DD2B-D219-4560-AA71-411059DEFC4A}">
      <formula1>$E$2:$E$6</formula1>
    </dataValidation>
    <dataValidation type="custom" allowBlank="1" showInputMessage="1" showErrorMessage="1" sqref="L5:L6 N5:N6" xr:uid="{57B225E9-B2A5-404A-A0F3-F18E05BC7842}">
      <formula1>$I5&lt;&gt;"Yes"</formula1>
    </dataValidation>
  </dataValidations>
  <pageMargins left="0.7" right="0.7" top="0.75" bottom="0.75" header="0.3" footer="0.3"/>
  <pageSetup orientation="portrait" r:id="rId1"/>
  <ignoredErrors>
    <ignoredError sqref="N3" listDataValidation="1"/>
  </ignoredErrors>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5C3779AB-8D7D-4A9B-A6A7-5682EA556C2C}">
          <x14:formula1>
            <xm:f>'1. L1 Data Domains'!$D:$D</xm:f>
          </x14:formula1>
          <xm:sqref>C2:C6</xm:sqref>
        </x14:dataValidation>
        <x14:dataValidation type="list" allowBlank="1" showInputMessage="1" showErrorMessage="1" xr:uid="{40C99E8F-7751-42AB-86CF-D5D8DB29E738}">
          <x14:formula1>
            <xm:f>'9. Person Table'!$D$2:$D$9</xm:f>
          </x14:formula1>
          <xm:sqref>O2:P6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22"/>
  <sheetViews>
    <sheetView tabSelected="1" zoomScaleNormal="100" workbookViewId="0">
      <selection activeCell="D7" sqref="D7"/>
    </sheetView>
  </sheetViews>
  <sheetFormatPr defaultRowHeight="14.4" x14ac:dyDescent="0.3"/>
  <cols>
    <col min="1" max="1" width="9.21875" style="31"/>
    <col min="2" max="2" width="13.21875" style="31" customWidth="1"/>
    <col min="3" max="3" width="24.109375" style="31" customWidth="1"/>
    <col min="4" max="4" width="66.21875" style="31" customWidth="1"/>
    <col min="5" max="5" width="31.33203125" style="31" customWidth="1"/>
    <col min="6" max="6" width="29.33203125" style="31" bestFit="1" customWidth="1"/>
    <col min="7" max="7" width="39.21875" style="31" bestFit="1" customWidth="1"/>
    <col min="8" max="8" width="109.21875" style="31" bestFit="1" customWidth="1"/>
    <col min="9" max="9" width="171" style="31" bestFit="1" customWidth="1"/>
    <col min="10" max="13" width="26.77734375" style="31" customWidth="1"/>
    <col min="14" max="14" width="32.77734375" style="31" customWidth="1"/>
    <col min="15" max="15" width="42.21875" style="31" bestFit="1" customWidth="1"/>
  </cols>
  <sheetData>
    <row r="1" spans="2:15" x14ac:dyDescent="0.3">
      <c r="B1" t="s">
        <v>13</v>
      </c>
      <c r="C1" s="30" t="s">
        <v>46</v>
      </c>
      <c r="D1" t="s">
        <v>120</v>
      </c>
      <c r="E1" t="s">
        <v>48</v>
      </c>
      <c r="F1" s="30" t="s">
        <v>121</v>
      </c>
      <c r="G1" s="30" t="s">
        <v>122</v>
      </c>
      <c r="H1" s="30" t="s">
        <v>50</v>
      </c>
      <c r="I1" t="s">
        <v>21</v>
      </c>
      <c r="J1" t="s">
        <v>52</v>
      </c>
      <c r="K1" t="s">
        <v>54</v>
      </c>
      <c r="L1" t="s">
        <v>56</v>
      </c>
      <c r="M1" t="s">
        <v>58</v>
      </c>
      <c r="N1" t="s">
        <v>40</v>
      </c>
      <c r="O1" t="s">
        <v>42</v>
      </c>
    </row>
    <row r="2" spans="2:15" x14ac:dyDescent="0.3">
      <c r="B2">
        <v>1</v>
      </c>
      <c r="C2" s="1" t="s">
        <v>200</v>
      </c>
      <c r="D2" t="s">
        <v>229</v>
      </c>
      <c r="E2" t="s">
        <v>208</v>
      </c>
      <c r="F2" s="18" t="str">
        <f>IF(RIGHT(Table3[[#This Row],[Attribute Name]],1)=" ",LEFT(Table3[[#This Row],[Attribute Name]],(LEN(Table3[[#This Row],[Attribute Name]]))-1),Table3[[#This Row],[Attribute Name]])</f>
        <v>Product Counter</v>
      </c>
      <c r="G2" s="2" t="str">
        <f>SUBSTITUTE(SUBSTITUTE(SUBSTITUTE(SUBSTITUTE(LOWER(F2),"&amp;",""),"-",""),"  ","-")," ","-")</f>
        <v>product-counter</v>
      </c>
      <c r="H2" s="33" t="str">
        <f>IF(Table3[[#This Row],[Unique entity qualified name]]&lt;&gt;"",Table3[[#This Row],[Unique entity qualified name]]&amp;"--"&amp;Table3[[#This Row],[Data attribute qualified name]],"")</f>
        <v>production-planning--production-performance--product-counter</v>
      </c>
      <c r="I2" s="96" t="s">
        <v>300</v>
      </c>
      <c r="J2" t="s">
        <v>182</v>
      </c>
      <c r="K2"/>
      <c r="L2"/>
      <c r="M2"/>
      <c r="N2" t="s">
        <v>273</v>
      </c>
      <c r="O2" t="s">
        <v>275</v>
      </c>
    </row>
    <row r="3" spans="2:15" x14ac:dyDescent="0.3">
      <c r="B3">
        <v>2</v>
      </c>
      <c r="C3" s="1" t="s">
        <v>200</v>
      </c>
      <c r="D3" t="s">
        <v>229</v>
      </c>
      <c r="E3" t="s">
        <v>227</v>
      </c>
      <c r="F3" s="18" t="str">
        <f>IF(RIGHT(Table3[[#This Row],[Attribute Name]],1)=" ",LEFT(Table3[[#This Row],[Attribute Name]],(LEN(Table3[[#This Row],[Attribute Name]]))-1),Table3[[#This Row],[Attribute Name]])</f>
        <v>Scrap Counter</v>
      </c>
      <c r="G3" s="2" t="str">
        <f t="shared" ref="G3:G5" si="0">SUBSTITUTE(SUBSTITUTE(SUBSTITUTE(SUBSTITUTE(LOWER(F3),"&amp;",""),"-",""),"  ","-")," ","-")</f>
        <v>scrap-counter</v>
      </c>
      <c r="H3" s="33" t="str">
        <f>IF(Table3[[#This Row],[Unique entity qualified name]]&lt;&gt;"",Table3[[#This Row],[Unique entity qualified name]]&amp;"--"&amp;Table3[[#This Row],[Data attribute qualified name]],"")</f>
        <v>production-planning--production-performance--scrap-counter</v>
      </c>
      <c r="I3" s="96" t="s">
        <v>301</v>
      </c>
      <c r="J3" t="s">
        <v>182</v>
      </c>
      <c r="K3"/>
      <c r="L3"/>
      <c r="M3"/>
      <c r="N3" t="s">
        <v>277</v>
      </c>
      <c r="O3" t="s">
        <v>279</v>
      </c>
    </row>
    <row r="4" spans="2:15" x14ac:dyDescent="0.3">
      <c r="B4">
        <v>3</v>
      </c>
      <c r="C4" s="1" t="s">
        <v>200</v>
      </c>
      <c r="D4" t="s">
        <v>229</v>
      </c>
      <c r="E4" t="s">
        <v>209</v>
      </c>
      <c r="F4" s="18" t="str">
        <f>IF(RIGHT(Table3[[#This Row],[Attribute Name]],1)=" ",LEFT(Table3[[#This Row],[Attribute Name]],(LEN(Table3[[#This Row],[Attribute Name]]))-1),Table3[[#This Row],[Attribute Name]])</f>
        <v>Yield</v>
      </c>
      <c r="G4" s="2" t="str">
        <f t="shared" si="0"/>
        <v>yield</v>
      </c>
      <c r="H4" s="33" t="str">
        <f>IF(Table3[[#This Row],[Unique entity qualified name]]&lt;&gt;"",Table3[[#This Row],[Unique entity qualified name]]&amp;"--"&amp;Table3[[#This Row],[Data attribute qualified name]],"")</f>
        <v>production-planning--production-performance--yield</v>
      </c>
      <c r="I4" s="97" t="s">
        <v>302</v>
      </c>
      <c r="J4" t="s">
        <v>182</v>
      </c>
      <c r="K4"/>
      <c r="L4"/>
      <c r="M4"/>
      <c r="N4" t="s">
        <v>279</v>
      </c>
      <c r="O4" t="s">
        <v>281</v>
      </c>
    </row>
    <row r="5" spans="2:15" x14ac:dyDescent="0.3">
      <c r="B5">
        <v>4</v>
      </c>
      <c r="C5" s="1" t="s">
        <v>200</v>
      </c>
      <c r="D5" t="s">
        <v>229</v>
      </c>
      <c r="E5" t="s">
        <v>210</v>
      </c>
      <c r="F5" s="18" t="str">
        <f>IF(RIGHT(Table3[[#This Row],[Attribute Name]],1)=" ",LEFT(Table3[[#This Row],[Attribute Name]],(LEN(Table3[[#This Row],[Attribute Name]]))-1),Table3[[#This Row],[Attribute Name]])</f>
        <v>Throughput</v>
      </c>
      <c r="G5" s="2" t="str">
        <f t="shared" si="0"/>
        <v>throughput</v>
      </c>
      <c r="H5" s="33" t="str">
        <f>IF(Table3[[#This Row],[Unique entity qualified name]]&lt;&gt;"",Table3[[#This Row],[Unique entity qualified name]]&amp;"--"&amp;Table3[[#This Row],[Data attribute qualified name]],"")</f>
        <v>production-planning--production-performance--throughput</v>
      </c>
      <c r="I5" s="96" t="s">
        <v>303</v>
      </c>
      <c r="J5" t="s">
        <v>182</v>
      </c>
      <c r="K5"/>
      <c r="L5"/>
      <c r="M5"/>
      <c r="N5" t="s">
        <v>277</v>
      </c>
      <c r="O5" t="s">
        <v>279</v>
      </c>
    </row>
    <row r="6" spans="2:15" x14ac:dyDescent="0.3">
      <c r="B6">
        <v>5</v>
      </c>
      <c r="C6" s="1" t="s">
        <v>200</v>
      </c>
      <c r="D6" t="s">
        <v>229</v>
      </c>
      <c r="E6" t="s">
        <v>177</v>
      </c>
      <c r="F6" s="18" t="str">
        <f>IF(RIGHT(Table3[[#This Row],[Attribute Name]],1)=" ",LEFT(Table3[[#This Row],[Attribute Name]],(LEN(Table3[[#This Row],[Attribute Name]]))-1),Table3[[#This Row],[Attribute Name]])</f>
        <v>State</v>
      </c>
      <c r="G6" s="2" t="str">
        <f t="shared" ref="G6:G15" si="1">SUBSTITUTE(SUBSTITUTE(SUBSTITUTE(SUBSTITUTE(LOWER(F6),"&amp;",""),"-",""),"  ","-")," ","-")</f>
        <v>state</v>
      </c>
      <c r="H6" s="33" t="str">
        <f>IF(Table3[[#This Row],[Unique entity qualified name]]&lt;&gt;"",Table3[[#This Row],[Unique entity qualified name]]&amp;"--"&amp;Table3[[#This Row],[Data attribute qualified name]],"")</f>
        <v>production-planning--production-performance--state</v>
      </c>
      <c r="I6" s="96" t="s">
        <v>304</v>
      </c>
      <c r="J6" t="s">
        <v>181</v>
      </c>
      <c r="K6"/>
      <c r="L6"/>
      <c r="M6"/>
      <c r="N6" t="s">
        <v>275</v>
      </c>
      <c r="O6" t="s">
        <v>273</v>
      </c>
    </row>
    <row r="7" spans="2:15" ht="26.4" x14ac:dyDescent="0.3">
      <c r="B7">
        <v>6</v>
      </c>
      <c r="C7" s="1" t="s">
        <v>202</v>
      </c>
      <c r="D7" t="s">
        <v>230</v>
      </c>
      <c r="E7" t="s">
        <v>211</v>
      </c>
      <c r="F7" s="18" t="str">
        <f>IF(RIGHT(Table3[[#This Row],[Attribute Name]],1)=" ",LEFT(Table3[[#This Row],[Attribute Name]],(LEN(Table3[[#This Row],[Attribute Name]]))-1),Table3[[#This Row],[Attribute Name]])</f>
        <v>Inventory Level</v>
      </c>
      <c r="G7" s="2" t="str">
        <f>SUBSTITUTE(SUBSTITUTE(SUBSTITUTE(SUBSTITUTE(LOWER(F7),"&amp;",""),"-",""),"  ","-")," ","-")</f>
        <v>inventory-level</v>
      </c>
      <c r="H7" s="33" t="str">
        <f>IF(Table3[[#This Row],[Unique entity qualified name]]&lt;&gt;"",Table3[[#This Row],[Unique entity qualified name]]&amp;"--"&amp;Table3[[#This Row],[Data attribute qualified name]],"")</f>
        <v>production-planning--inventory-and-capacity-planning--inventory-level</v>
      </c>
      <c r="I7" s="96" t="s">
        <v>305</v>
      </c>
      <c r="J7" t="s">
        <v>182</v>
      </c>
      <c r="K7"/>
      <c r="L7"/>
      <c r="M7"/>
      <c r="N7" t="s">
        <v>281</v>
      </c>
      <c r="O7" t="s">
        <v>277</v>
      </c>
    </row>
    <row r="8" spans="2:15" ht="26.4" x14ac:dyDescent="0.3">
      <c r="B8">
        <v>7</v>
      </c>
      <c r="C8" s="1" t="s">
        <v>202</v>
      </c>
      <c r="D8" t="s">
        <v>230</v>
      </c>
      <c r="E8" t="s">
        <v>212</v>
      </c>
      <c r="F8" s="18" t="str">
        <f>IF(RIGHT(Table3[[#This Row],[Attribute Name]],1)=" ",LEFT(Table3[[#This Row],[Attribute Name]],(LEN(Table3[[#This Row],[Attribute Name]]))-1),Table3[[#This Row],[Attribute Name]])</f>
        <v>Planned Orders Today</v>
      </c>
      <c r="G8" s="2" t="str">
        <f t="shared" ref="G8" si="2">SUBSTITUTE(SUBSTITUTE(SUBSTITUTE(SUBSTITUTE(LOWER(F8),"&amp;",""),"-",""),"  ","-")," ","-")</f>
        <v>planned-orders-today</v>
      </c>
      <c r="H8" s="33" t="str">
        <f>IF(Table3[[#This Row],[Unique entity qualified name]]&lt;&gt;"",Table3[[#This Row],[Unique entity qualified name]]&amp;"--"&amp;Table3[[#This Row],[Data attribute qualified name]],"")</f>
        <v>production-planning--inventory-and-capacity-planning--planned-orders-today</v>
      </c>
      <c r="I8" s="96" t="s">
        <v>306</v>
      </c>
      <c r="J8" t="s">
        <v>182</v>
      </c>
      <c r="K8"/>
      <c r="L8"/>
      <c r="M8"/>
      <c r="N8" t="s">
        <v>275</v>
      </c>
      <c r="O8" t="s">
        <v>273</v>
      </c>
    </row>
    <row r="9" spans="2:15" x14ac:dyDescent="0.3">
      <c r="B9">
        <v>8</v>
      </c>
      <c r="C9" s="1" t="s">
        <v>203</v>
      </c>
      <c r="D9" t="s">
        <v>231</v>
      </c>
      <c r="E9" t="s">
        <v>213</v>
      </c>
      <c r="F9" s="18" t="str">
        <f>IF(RIGHT(Table3[[#This Row],[Attribute Name]],1)=" ",LEFT(Table3[[#This Row],[Attribute Name]],(LEN(Table3[[#This Row],[Attribute Name]]))-1),Table3[[#This Row],[Attribute Name]])</f>
        <v>Air Pressure</v>
      </c>
      <c r="G9" s="2" t="str">
        <f>SUBSTITUTE(SUBSTITUTE(SUBSTITUTE(SUBSTITUTE(LOWER(F9),"&amp;",""),"-",""),"  ","-")," ","-")</f>
        <v>air-pressure</v>
      </c>
      <c r="H9" s="33" t="str">
        <f>IF(Table3[[#This Row],[Unique entity qualified name]]&lt;&gt;"",Table3[[#This Row],[Unique entity qualified name]]&amp;"--"&amp;Table3[[#This Row],[Data attribute qualified name]],"")</f>
        <v>operational-monitoring--machine-health-metrics--air-pressure</v>
      </c>
      <c r="I9" s="96" t="s">
        <v>307</v>
      </c>
      <c r="J9" t="s">
        <v>182</v>
      </c>
      <c r="K9"/>
      <c r="L9"/>
      <c r="M9"/>
      <c r="N9" t="s">
        <v>281</v>
      </c>
      <c r="O9" t="s">
        <v>277</v>
      </c>
    </row>
    <row r="10" spans="2:15" x14ac:dyDescent="0.3">
      <c r="B10">
        <v>9</v>
      </c>
      <c r="C10" s="1" t="s">
        <v>203</v>
      </c>
      <c r="D10" t="s">
        <v>231</v>
      </c>
      <c r="E10" t="s">
        <v>214</v>
      </c>
      <c r="F10" s="18" t="str">
        <f>IF(RIGHT(Table3[[#This Row],[Attribute Name]],1)=" ",LEFT(Table3[[#This Row],[Attribute Name]],(LEN(Table3[[#This Row],[Attribute Name]]))-1),Table3[[#This Row],[Attribute Name]])</f>
        <v>Motor Temperature</v>
      </c>
      <c r="G10" s="2" t="str">
        <f t="shared" ref="G10" si="3">SUBSTITUTE(SUBSTITUTE(SUBSTITUTE(SUBSTITUTE(LOWER(F10),"&amp;",""),"-",""),"  ","-")," ","-")</f>
        <v>motor-temperature</v>
      </c>
      <c r="H10" s="33" t="str">
        <f>IF(Table3[[#This Row],[Unique entity qualified name]]&lt;&gt;"",Table3[[#This Row],[Unique entity qualified name]]&amp;"--"&amp;Table3[[#This Row],[Data attribute qualified name]],"")</f>
        <v>operational-monitoring--machine-health-metrics--motor-temperature</v>
      </c>
      <c r="I10" s="96" t="s">
        <v>308</v>
      </c>
      <c r="J10" t="s">
        <v>182</v>
      </c>
      <c r="K10"/>
      <c r="L10"/>
      <c r="M10"/>
      <c r="N10" t="s">
        <v>279</v>
      </c>
      <c r="O10" t="s">
        <v>273</v>
      </c>
    </row>
    <row r="11" spans="2:15" x14ac:dyDescent="0.3">
      <c r="B11">
        <v>10</v>
      </c>
      <c r="C11" s="1" t="s">
        <v>203</v>
      </c>
      <c r="D11" t="s">
        <v>231</v>
      </c>
      <c r="E11" t="s">
        <v>215</v>
      </c>
      <c r="F11" s="18" t="str">
        <f>IF(RIGHT(Table3[[#This Row],[Attribute Name]],1)=" ",LEFT(Table3[[#This Row],[Attribute Name]],(LEN(Table3[[#This Row],[Attribute Name]]))-1),Table3[[#This Row],[Attribute Name]])</f>
        <v>Total Power</v>
      </c>
      <c r="G11" s="2" t="str">
        <f t="shared" si="1"/>
        <v>total-power</v>
      </c>
      <c r="H11" s="33" t="str">
        <f>IF(Table3[[#This Row],[Unique entity qualified name]]&lt;&gt;"",Table3[[#This Row],[Unique entity qualified name]]&amp;"--"&amp;Table3[[#This Row],[Data attribute qualified name]],"")</f>
        <v>operational-monitoring--machine-health-metrics--total-power</v>
      </c>
      <c r="I11" s="96" t="s">
        <v>309</v>
      </c>
      <c r="J11" t="s">
        <v>182</v>
      </c>
      <c r="K11"/>
      <c r="L11"/>
      <c r="M11"/>
      <c r="N11" t="s">
        <v>275</v>
      </c>
      <c r="O11" s="98" t="s">
        <v>277</v>
      </c>
    </row>
    <row r="12" spans="2:15" ht="26.4" x14ac:dyDescent="0.3">
      <c r="B12">
        <v>11</v>
      </c>
      <c r="C12" s="1" t="s">
        <v>205</v>
      </c>
      <c r="D12" t="s">
        <v>232</v>
      </c>
      <c r="E12" t="s">
        <v>216</v>
      </c>
      <c r="F12" s="18" t="str">
        <f>IF(RIGHT(Table3[[#This Row],[Attribute Name]],1)=" ",LEFT(Table3[[#This Row],[Attribute Name]],(LEN(Table3[[#This Row],[Attribute Name]]))-1),Table3[[#This Row],[Attribute Name]])</f>
        <v>Fulfilled Orders Today</v>
      </c>
      <c r="G12" s="2" t="str">
        <f t="shared" si="1"/>
        <v>fulfilled-orders-today</v>
      </c>
      <c r="H12" s="33" t="str">
        <f>IF(Table3[[#This Row],[Unique entity qualified name]]&lt;&gt;"",Table3[[#This Row],[Unique entity qualified name]]&amp;"--"&amp;Table3[[#This Row],[Data attribute qualified name]],"")</f>
        <v>order-management--order-processing-and-fulfillment--fulfilled-orders-today</v>
      </c>
      <c r="I12" s="96" t="s">
        <v>310</v>
      </c>
      <c r="J12" t="s">
        <v>182</v>
      </c>
      <c r="K12"/>
      <c r="L12"/>
      <c r="M12"/>
      <c r="N12" t="s">
        <v>279</v>
      </c>
      <c r="O12" t="s">
        <v>273</v>
      </c>
    </row>
    <row r="13" spans="2:15" ht="26.4" x14ac:dyDescent="0.3">
      <c r="B13">
        <v>12</v>
      </c>
      <c r="C13" s="1" t="s">
        <v>205</v>
      </c>
      <c r="D13" t="s">
        <v>232</v>
      </c>
      <c r="E13" t="s">
        <v>217</v>
      </c>
      <c r="F13" s="18" t="str">
        <f>IF(RIGHT(Table3[[#This Row],[Attribute Name]],1)=" ",LEFT(Table3[[#This Row],[Attribute Name]],(LEN(Table3[[#This Row],[Attribute Name]]))-1),Table3[[#This Row],[Attribute Name]])</f>
        <v>Order Fulfillment</v>
      </c>
      <c r="G13" s="2" t="str">
        <f t="shared" si="1"/>
        <v>order-fulfillment</v>
      </c>
      <c r="H13" s="33" t="str">
        <f>IF(Table3[[#This Row],[Unique entity qualified name]]&lt;&gt;"",Table3[[#This Row],[Unique entity qualified name]]&amp;"--"&amp;Table3[[#This Row],[Data attribute qualified name]],"")</f>
        <v>order-management--order-processing-and-fulfillment--order-fulfillment</v>
      </c>
      <c r="I13" s="96" t="s">
        <v>311</v>
      </c>
      <c r="J13" t="s">
        <v>182</v>
      </c>
      <c r="K13"/>
      <c r="L13"/>
      <c r="M13"/>
      <c r="N13" t="s">
        <v>273</v>
      </c>
      <c r="O13" t="s">
        <v>275</v>
      </c>
    </row>
    <row r="14" spans="2:15" ht="26.4" x14ac:dyDescent="0.3">
      <c r="B14">
        <v>13</v>
      </c>
      <c r="C14" s="1" t="s">
        <v>205</v>
      </c>
      <c r="D14" t="s">
        <v>232</v>
      </c>
      <c r="E14" t="s">
        <v>218</v>
      </c>
      <c r="F14" s="18" t="str">
        <f>IF(RIGHT(Table3[[#This Row],[Attribute Name]],1)=" ",LEFT(Table3[[#This Row],[Attribute Name]],(LEN(Table3[[#This Row],[Attribute Name]]))-1),Table3[[#This Row],[Attribute Name]])</f>
        <v>Fulfilled Quantity</v>
      </c>
      <c r="G14" s="2" t="str">
        <f t="shared" si="1"/>
        <v>fulfilled-quantity</v>
      </c>
      <c r="H14" s="33" t="str">
        <f>IF(Table3[[#This Row],[Unique entity qualified name]]&lt;&gt;"",Table3[[#This Row],[Unique entity qualified name]]&amp;"--"&amp;Table3[[#This Row],[Data attribute qualified name]],"")</f>
        <v>order-management--order-processing-and-fulfillment--fulfilled-quantity</v>
      </c>
      <c r="I14" s="96" t="s">
        <v>312</v>
      </c>
      <c r="J14" t="s">
        <v>182</v>
      </c>
      <c r="K14"/>
      <c r="L14"/>
      <c r="M14"/>
      <c r="N14" t="s">
        <v>281</v>
      </c>
      <c r="O14" t="s">
        <v>273</v>
      </c>
    </row>
    <row r="15" spans="2:15" ht="26.4" x14ac:dyDescent="0.3">
      <c r="B15">
        <v>14</v>
      </c>
      <c r="C15" s="1" t="s">
        <v>205</v>
      </c>
      <c r="D15" t="s">
        <v>232</v>
      </c>
      <c r="E15" t="s">
        <v>219</v>
      </c>
      <c r="F15" s="18" t="str">
        <f>IF(RIGHT(Table3[[#This Row],[Attribute Name]],1)=" ",LEFT(Table3[[#This Row],[Attribute Name]],(LEN(Table3[[#This Row],[Attribute Name]]))-1),Table3[[#This Row],[Attribute Name]])</f>
        <v>Current Fulfillment</v>
      </c>
      <c r="G15" s="2" t="str">
        <f t="shared" si="1"/>
        <v>current-fulfillment</v>
      </c>
      <c r="H15" s="33" t="str">
        <f>IF(Table3[[#This Row],[Unique entity qualified name]]&lt;&gt;"",Table3[[#This Row],[Unique entity qualified name]]&amp;"--"&amp;Table3[[#This Row],[Data attribute qualified name]],"")</f>
        <v>order-management--order-processing-and-fulfillment--current-fulfillment</v>
      </c>
      <c r="I15" s="96" t="s">
        <v>313</v>
      </c>
      <c r="J15" t="s">
        <v>182</v>
      </c>
      <c r="K15"/>
      <c r="L15"/>
      <c r="M15"/>
      <c r="N15" t="s">
        <v>277</v>
      </c>
      <c r="O15" t="s">
        <v>279</v>
      </c>
    </row>
    <row r="16" spans="2:15" ht="26.4" x14ac:dyDescent="0.3">
      <c r="B16">
        <v>15</v>
      </c>
      <c r="C16" s="1" t="s">
        <v>205</v>
      </c>
      <c r="D16" t="s">
        <v>232</v>
      </c>
      <c r="E16" t="s">
        <v>228</v>
      </c>
      <c r="F16" s="18" t="str">
        <f>IF(RIGHT(Table3[[#This Row],[Attribute Name]],1)=" ",LEFT(Table3[[#This Row],[Attribute Name]],(LEN(Table3[[#This Row],[Attribute Name]]))-1),Table3[[#This Row],[Attribute Name]])</f>
        <v>Estimate Time of Completion</v>
      </c>
      <c r="G16" s="2" t="str">
        <f t="shared" ref="G16:G17" si="4">SUBSTITUTE(SUBSTITUTE(SUBSTITUTE(SUBSTITUTE(LOWER(F16),"&amp;",""),"-",""),"  ","-")," ","-")</f>
        <v>estimate-time-of-completion</v>
      </c>
      <c r="H16" s="33" t="str">
        <f>IF(Table3[[#This Row],[Unique entity qualified name]]&lt;&gt;"",Table3[[#This Row],[Unique entity qualified name]]&amp;"--"&amp;Table3[[#This Row],[Data attribute qualified name]],"")</f>
        <v>order-management--order-processing-and-fulfillment--estimate-time-of-completion</v>
      </c>
      <c r="I16" s="96" t="s">
        <v>314</v>
      </c>
      <c r="J16" t="s">
        <v>182</v>
      </c>
      <c r="K16"/>
      <c r="L16"/>
      <c r="M16"/>
      <c r="N16" t="s">
        <v>275</v>
      </c>
      <c r="O16" t="s">
        <v>281</v>
      </c>
    </row>
    <row r="17" spans="2:15" ht="26.4" x14ac:dyDescent="0.3">
      <c r="B17">
        <v>16</v>
      </c>
      <c r="C17" s="1" t="s">
        <v>205</v>
      </c>
      <c r="D17" t="s">
        <v>232</v>
      </c>
      <c r="E17" t="s">
        <v>221</v>
      </c>
      <c r="F17" s="35" t="str">
        <f>IF(RIGHT(Table3[[#This Row],[Attribute Name]],1)=" ",LEFT(Table3[[#This Row],[Attribute Name]],(LEN(Table3[[#This Row],[Attribute Name]]))-1),Table3[[#This Row],[Attribute Name]])</f>
        <v>Next Order Number</v>
      </c>
      <c r="G17" s="36" t="str">
        <f t="shared" si="4"/>
        <v>next-order-number</v>
      </c>
      <c r="H17" s="33" t="str">
        <f>IF(Table3[[#This Row],[Unique entity qualified name]]&lt;&gt;"",Table3[[#This Row],[Unique entity qualified name]]&amp;"--"&amp;Table3[[#This Row],[Data attribute qualified name]],"")</f>
        <v>order-management--order-processing-and-fulfillment--next-order-number</v>
      </c>
      <c r="I17" s="96" t="s">
        <v>315</v>
      </c>
      <c r="J17" t="s">
        <v>181</v>
      </c>
      <c r="K17"/>
      <c r="L17"/>
      <c r="M17"/>
      <c r="N17" t="s">
        <v>279</v>
      </c>
      <c r="O17" t="s">
        <v>273</v>
      </c>
    </row>
    <row r="18" spans="2:15" ht="26.4" x14ac:dyDescent="0.3">
      <c r="B18">
        <v>17</v>
      </c>
      <c r="C18" s="87" t="s">
        <v>205</v>
      </c>
      <c r="D18" t="s">
        <v>232</v>
      </c>
      <c r="E18" s="88" t="s">
        <v>222</v>
      </c>
      <c r="F18" s="18" t="str">
        <f>IF(RIGHT(Table3[[#This Row],[Attribute Name]],1)=" ",LEFT(Table3[[#This Row],[Attribute Name]],(LEN(Table3[[#This Row],[Attribute Name]]))-1),Table3[[#This Row],[Attribute Name]])</f>
        <v>Current Order</v>
      </c>
      <c r="G18" s="2" t="str">
        <f>SUBSTITUTE(SUBSTITUTE(SUBSTITUTE(SUBSTITUTE(LOWER(F18),"&amp;",""),"-",""),"  ","-")," ","-")</f>
        <v>current-order</v>
      </c>
      <c r="H18" s="33" t="str">
        <f>IF(Table3[[#This Row],[Unique entity qualified name]]&lt;&gt;"",Table3[[#This Row],[Unique entity qualified name]]&amp;"--"&amp;Table3[[#This Row],[Data attribute qualified name]],"")</f>
        <v>order-management--order-processing-and-fulfillment--current-order</v>
      </c>
      <c r="I18" s="96" t="s">
        <v>316</v>
      </c>
      <c r="J18" s="86" t="s">
        <v>181</v>
      </c>
      <c r="K18" s="86"/>
      <c r="L18" s="86"/>
      <c r="M18" s="86"/>
      <c r="N18" s="86" t="s">
        <v>279</v>
      </c>
      <c r="O18" s="86" t="s">
        <v>277</v>
      </c>
    </row>
    <row r="19" spans="2:15" x14ac:dyDescent="0.3">
      <c r="B19">
        <v>18</v>
      </c>
      <c r="C19" s="84" t="s">
        <v>206</v>
      </c>
      <c r="D19" s="31" t="s">
        <v>323</v>
      </c>
      <c r="E19" s="85" t="s">
        <v>223</v>
      </c>
      <c r="F19" s="18" t="str">
        <f>IF(RIGHT(Table3[[#This Row],[Attribute Name]],1)=" ",LEFT(Table3[[#This Row],[Attribute Name]],(LEN(Table3[[#This Row],[Attribute Name]]))-1),Table3[[#This Row],[Attribute Name]])</f>
        <v>Order Id</v>
      </c>
      <c r="G19" s="2" t="str">
        <f t="shared" ref="G19" si="5">SUBSTITUTE(SUBSTITUTE(SUBSTITUTE(SUBSTITUTE(LOWER(F19),"&amp;",""),"-",""),"  ","-")," ","-")</f>
        <v>order-id</v>
      </c>
      <c r="H19" s="33" t="str">
        <f>IF(Table3[[#This Row],[Unique entity qualified name]]&lt;&gt;"",Table3[[#This Row],[Unique entity qualified name]]&amp;"--"&amp;Table3[[#This Row],[Data attribute qualified name]],"")</f>
        <v>order-management--customer-order--order-id</v>
      </c>
      <c r="I19" s="96" t="s">
        <v>317</v>
      </c>
      <c r="J19" s="1" t="s">
        <v>181</v>
      </c>
      <c r="K19" s="1"/>
      <c r="L19" s="1"/>
      <c r="M19" s="1"/>
      <c r="N19" s="1" t="s">
        <v>281</v>
      </c>
      <c r="O19" s="1" t="s">
        <v>275</v>
      </c>
    </row>
    <row r="20" spans="2:15" ht="26.4" x14ac:dyDescent="0.3">
      <c r="B20">
        <v>19</v>
      </c>
      <c r="C20" s="87" t="s">
        <v>206</v>
      </c>
      <c r="D20" s="31" t="s">
        <v>323</v>
      </c>
      <c r="E20" s="88" t="s">
        <v>224</v>
      </c>
      <c r="F20" s="93" t="str">
        <f>IF(RIGHT(Table3[[#This Row],[Attribute Name]],1)=" ",LEFT(Table3[[#This Row],[Attribute Name]],(LEN(Table3[[#This Row],[Attribute Name]]))-1),Table3[[#This Row],[Attribute Name]])</f>
        <v>Ordered Quantity</v>
      </c>
      <c r="G20" s="2" t="str">
        <f>SUBSTITUTE(SUBSTITUTE(SUBSTITUTE(SUBSTITUTE(LOWER(F20),"&amp;",""),"-",""),"  ","-")," ","-")</f>
        <v>ordered-quantity</v>
      </c>
      <c r="H20" s="94" t="str">
        <f>IF(Table3[[#This Row],[Unique entity qualified name]]&lt;&gt;"",Table3[[#This Row],[Unique entity qualified name]]&amp;"--"&amp;Table3[[#This Row],[Data attribute qualified name]],"")</f>
        <v>order-management--customer-order--ordered-quantity</v>
      </c>
      <c r="I20" s="96" t="s">
        <v>318</v>
      </c>
      <c r="J20" s="86" t="s">
        <v>182</v>
      </c>
      <c r="K20" s="86"/>
      <c r="L20" s="86"/>
      <c r="M20" s="86"/>
      <c r="N20" s="86" t="s">
        <v>275</v>
      </c>
      <c r="O20" s="86" t="s">
        <v>279</v>
      </c>
    </row>
    <row r="21" spans="2:15" x14ac:dyDescent="0.3">
      <c r="B21">
        <v>20</v>
      </c>
      <c r="C21" s="87" t="s">
        <v>206</v>
      </c>
      <c r="D21" s="31" t="s">
        <v>323</v>
      </c>
      <c r="E21" s="88" t="s">
        <v>225</v>
      </c>
      <c r="F21" s="93" t="str">
        <f>IF(RIGHT(Table3[[#This Row],[Attribute Name]],1)=" ",LEFT(Table3[[#This Row],[Attribute Name]],(LEN(Table3[[#This Row],[Attribute Name]]))-1),Table3[[#This Row],[Attribute Name]])</f>
        <v>Shipment Slot</v>
      </c>
      <c r="G21" s="2" t="str">
        <f>SUBSTITUTE(SUBSTITUTE(SUBSTITUTE(SUBSTITUTE(LOWER(F21),"&amp;",""),"-",""),"  ","-")," ","-")</f>
        <v>shipment-slot</v>
      </c>
      <c r="H21" s="94" t="str">
        <f>IF(Table3[[#This Row],[Unique entity qualified name]]&lt;&gt;"",Table3[[#This Row],[Unique entity qualified name]]&amp;"--"&amp;Table3[[#This Row],[Data attribute qualified name]],"")</f>
        <v>order-management--customer-order--shipment-slot</v>
      </c>
      <c r="I21" s="96" t="s">
        <v>319</v>
      </c>
      <c r="J21" s="86" t="s">
        <v>3</v>
      </c>
      <c r="K21" s="86"/>
      <c r="L21" s="86"/>
      <c r="M21" s="86"/>
      <c r="N21" s="86" t="s">
        <v>281</v>
      </c>
      <c r="O21" s="86" t="s">
        <v>275</v>
      </c>
    </row>
    <row r="22" spans="2:15" x14ac:dyDescent="0.3">
      <c r="B22">
        <v>21</v>
      </c>
      <c r="C22" s="87" t="s">
        <v>206</v>
      </c>
      <c r="D22" s="31" t="s">
        <v>323</v>
      </c>
      <c r="E22" s="88" t="s">
        <v>226</v>
      </c>
      <c r="F22" s="93" t="str">
        <f>IF(RIGHT(Table3[[#This Row],[Attribute Name]],1)=" ",LEFT(Table3[[#This Row],[Attribute Name]],(LEN(Table3[[#This Row],[Attribute Name]]))-1),Table3[[#This Row],[Attribute Name]])</f>
        <v>Customer Deadline</v>
      </c>
      <c r="G22" s="2" t="str">
        <f>SUBSTITUTE(SUBSTITUTE(SUBSTITUTE(SUBSTITUTE(LOWER(F22),"&amp;",""),"-",""),"  ","-")," ","-")</f>
        <v>customer-deadline</v>
      </c>
      <c r="H22" s="94" t="str">
        <f>IF(Table3[[#This Row],[Unique entity qualified name]]&lt;&gt;"",Table3[[#This Row],[Unique entity qualified name]]&amp;"--"&amp;Table3[[#This Row],[Data attribute qualified name]],"")</f>
        <v>order-management--customer-order--customer-deadline</v>
      </c>
      <c r="I22" s="96" t="s">
        <v>320</v>
      </c>
      <c r="J22" s="86" t="s">
        <v>3</v>
      </c>
      <c r="K22" s="86"/>
      <c r="L22" s="86"/>
      <c r="M22" s="86"/>
      <c r="N22" s="86" t="s">
        <v>273</v>
      </c>
      <c r="O22" s="86" t="s">
        <v>277</v>
      </c>
    </row>
  </sheetData>
  <dataConsolidate/>
  <phoneticPr fontId="3" type="noConversion"/>
  <conditionalFormatting sqref="H2 H6 H11:H19">
    <cfRule type="cellIs" dxfId="103" priority="8" operator="notEqual">
      <formula>""""""</formula>
    </cfRule>
  </conditionalFormatting>
  <conditionalFormatting sqref="H7:H8">
    <cfRule type="cellIs" dxfId="102" priority="7" operator="notEqual">
      <formula>""""""</formula>
    </cfRule>
  </conditionalFormatting>
  <conditionalFormatting sqref="H9:H10">
    <cfRule type="cellIs" dxfId="101" priority="6" operator="notEqual">
      <formula>""""""</formula>
    </cfRule>
  </conditionalFormatting>
  <conditionalFormatting sqref="H3:H5">
    <cfRule type="cellIs" dxfId="100" priority="2" operator="notEqual">
      <formula>""""""</formula>
    </cfRule>
  </conditionalFormatting>
  <dataValidations count="4">
    <dataValidation type="list" allowBlank="1" showInputMessage="1" showErrorMessage="1" sqref="L2:L22" xr:uid="{0746EC8E-9B35-4EE9-ABEA-786F1F95B162}">
      <formula1>"Low,Medium,High"</formula1>
    </dataValidation>
    <dataValidation type="list" allowBlank="1" showInputMessage="1" showErrorMessage="1" sqref="M2:M22"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9" xr:uid="{95221B85-A36F-4D1C-BC12-B548C5F21BCA}">
      <formula1>"Numeric, Text, Date, Array"</formula1>
    </dataValidation>
  </dataValidations>
  <hyperlinks>
    <hyperlink ref="O11" r:id="rId1" xr:uid="{59A2E113-648F-489D-8E3C-0F418041D633}"/>
  </hyperlinks>
  <pageMargins left="0.7" right="0.7" top="0.75" bottom="0.75" header="0.3" footer="0.3"/>
  <pageSetup orientation="portrait"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95B2BC88-4CE4-491C-9580-2E217BD08CD8}">
          <x14:formula1>
            <xm:f>'2. L2 Data Entities'!$F$3:$F$6</xm:f>
          </x14:formula1>
          <xm:sqref>C7:C22</xm:sqref>
        </x14:dataValidation>
        <x14:dataValidation type="list" allowBlank="1" showInputMessage="1" showErrorMessage="1" xr:uid="{BF8FCBC4-779F-4D4F-ADD9-A1028361BC40}">
          <x14:formula1>
            <xm:f>'2. L2 Data Entities'!$E:$E</xm:f>
          </x14:formula1>
          <xm:sqref>D1:D1048576</xm:sqref>
        </x14:dataValidation>
        <x14:dataValidation type="list" allowBlank="1" showInputMessage="1" showErrorMessage="1" xr:uid="{2E5AE6C5-E084-4AF1-AECB-52DB0A64CE07}">
          <x14:formula1>
            <xm:f>'2. L2 Data Entities'!$F$2:$F$6</xm:f>
          </x14:formula1>
          <xm:sqref>C3:C6</xm:sqref>
        </x14:dataValidation>
        <x14:dataValidation type="list" allowBlank="1" showInputMessage="1" showErrorMessage="1" xr:uid="{D53A5A5E-B18C-4086-8C7A-7C8D1A6D83ED}">
          <x14:formula1>
            <xm:f>'2. L2 Data Entities'!$F$1:$F$6</xm:f>
          </x14:formula1>
          <xm:sqref>C2</xm:sqref>
        </x14:dataValidation>
        <x14:dataValidation type="list" allowBlank="1" showInputMessage="1" showErrorMessage="1" xr:uid="{4376B835-9A12-485E-B34B-2D8907F210F2}">
          <x14:formula1>
            <xm:f>'9. Person Table'!$D$2:$D$6</xm:f>
          </x14:formula1>
          <xm:sqref>N12:O22 N11 N2:O10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22"/>
  <sheetViews>
    <sheetView zoomScale="70" zoomScaleNormal="70" workbookViewId="0">
      <selection activeCell="D43" sqref="D43"/>
    </sheetView>
  </sheetViews>
  <sheetFormatPr defaultRowHeight="14.4" x14ac:dyDescent="0.3"/>
  <cols>
    <col min="2" max="2" width="17" style="31" customWidth="1"/>
    <col min="3" max="3" width="22.109375" style="31" customWidth="1"/>
    <col min="4" max="4" width="106.6640625" style="31" customWidth="1"/>
    <col min="5" max="5" width="27.5546875" style="31" customWidth="1"/>
    <col min="6" max="6" width="43.5546875" style="33" customWidth="1"/>
    <col min="7" max="7" width="19.109375" style="31" bestFit="1" customWidth="1"/>
    <col min="8" max="8" width="37.33203125" style="33" bestFit="1" customWidth="1"/>
    <col min="9" max="9" width="63" style="31" bestFit="1" customWidth="1"/>
    <col min="10" max="10" width="54.21875" style="33" bestFit="1" customWidth="1"/>
    <col min="11" max="11" width="76.109375" style="33" bestFit="1" customWidth="1"/>
    <col min="12" max="12" width="25.33203125" style="31" bestFit="1" customWidth="1"/>
    <col min="13" max="13" width="45.33203125" style="31" bestFit="1" customWidth="1"/>
    <col min="14" max="14" width="76" style="31" bestFit="1" customWidth="1"/>
    <col min="15" max="15" width="70" style="32" hidden="1" customWidth="1"/>
    <col min="16" max="16" width="11.21875" style="31" customWidth="1"/>
    <col min="17" max="17" width="21.77734375" style="31" bestFit="1" customWidth="1"/>
  </cols>
  <sheetData>
    <row r="1" spans="2:17" x14ac:dyDescent="0.3">
      <c r="B1" t="s">
        <v>13</v>
      </c>
      <c r="C1" s="31" t="s">
        <v>48</v>
      </c>
      <c r="D1" t="s">
        <v>50</v>
      </c>
      <c r="E1" t="s">
        <v>66</v>
      </c>
      <c r="F1" s="31" t="s">
        <v>123</v>
      </c>
      <c r="G1" t="s">
        <v>68</v>
      </c>
      <c r="H1" s="31" t="s">
        <v>124</v>
      </c>
      <c r="I1" t="s">
        <v>70</v>
      </c>
      <c r="J1" s="31" t="s">
        <v>125</v>
      </c>
      <c r="K1" s="31" t="s">
        <v>126</v>
      </c>
      <c r="L1" t="s">
        <v>72</v>
      </c>
      <c r="M1" s="31" t="s">
        <v>127</v>
      </c>
      <c r="N1" s="31" t="s">
        <v>74</v>
      </c>
      <c r="O1" t="s">
        <v>76</v>
      </c>
      <c r="P1" t="s">
        <v>78</v>
      </c>
      <c r="Q1" t="s">
        <v>80</v>
      </c>
    </row>
    <row r="2" spans="2:17" x14ac:dyDescent="0.3">
      <c r="B2">
        <v>1</v>
      </c>
      <c r="C2" s="31" t="s">
        <v>208</v>
      </c>
      <c r="D2" t="s">
        <v>233</v>
      </c>
      <c r="E2" t="s">
        <v>175</v>
      </c>
      <c r="F2" s="33" t="str">
        <f t="shared" ref="F2:F4" si="0">SUBSTITUTE(SUBSTITUTE(SUBSTITUTE(SUBSTITUTE(LOWER(E2),"&amp;",""),"-",""),"  ","-")," ","-")</f>
        <v>nodered</v>
      </c>
      <c r="G2" t="s">
        <v>242</v>
      </c>
      <c r="H2" s="33" t="str">
        <f t="shared" ref="H2:H3" si="1">SUBSTITUTE(SUBSTITUTE(SUBSTITUTE(SUBSTITUTE(LOWER(G2),"&amp;",""),"-",""),"  ","-")," ","-")</f>
        <v>nodered-flows</v>
      </c>
      <c r="I2" t="s">
        <v>243</v>
      </c>
      <c r="J2" s="33" t="str">
        <f>SUBSTITUTE(SUBSTITUTE(SUBSTITUTE(SUBSTITUTE(LOWER(I2),"&amp;",""),"-",""),"  ","-")," ","-")</f>
        <v>produce-metrics</v>
      </c>
      <c r="K2" s="33" t="str">
        <f>Table4[[#This Row],[Intermediate Qualified System Name]]&amp;"--"&amp;Table4[[#This Row],[Collection Intermediate Qualified Name]]&amp;"--"&amp;Table4[[#This Row],[Dataset Intermediate Qualified Name]]</f>
        <v>nodered--nodered-flows--produce-metrics</v>
      </c>
      <c r="L2" t="s">
        <v>208</v>
      </c>
      <c r="M2" s="33" t="str">
        <f t="shared" ref="M2" si="2">SUBSTITUTE(SUBSTITUTE(SUBSTITUTE(LOWER(L2),"&amp;",""),"  ","-")," ","-")</f>
        <v>product-counter</v>
      </c>
      <c r="N2" s="33" t="str">
        <f>Table4[[#This Row],[Intermediate Qualified System Name]]&amp;"--"&amp;Table4[[#This Row],[Collection Intermediate Qualified Name]]&amp;"--"&amp;Table4[[#This Row],[Dataset Intermediate Qualified Name]]&amp;"--"&amp;Table4[[#This Row],[Field Intermediate Qualified Name]]</f>
        <v>nodered--nodered-flows--produce-metrics--product-counter</v>
      </c>
      <c r="O2"/>
      <c r="P2" t="s">
        <v>184</v>
      </c>
      <c r="Q2"/>
    </row>
    <row r="3" spans="2:17" x14ac:dyDescent="0.3">
      <c r="B3">
        <v>2</v>
      </c>
      <c r="C3" s="31" t="s">
        <v>227</v>
      </c>
      <c r="D3" t="s">
        <v>234</v>
      </c>
      <c r="E3" t="s">
        <v>175</v>
      </c>
      <c r="F3" s="33" t="str">
        <f>SUBSTITUTE(SUBSTITUTE(SUBSTITUTE(SUBSTITUTE(LOWER(E3),"&amp;",""),"-",""),"  ","-")," ","-")</f>
        <v>nodered</v>
      </c>
      <c r="G3" t="s">
        <v>242</v>
      </c>
      <c r="H3" s="33" t="str">
        <f t="shared" si="1"/>
        <v>nodered-flows</v>
      </c>
      <c r="I3" t="s">
        <v>243</v>
      </c>
      <c r="J3" s="33" t="str">
        <f t="shared" ref="J3:J23" si="3">SUBSTITUTE(SUBSTITUTE(SUBSTITUTE(SUBSTITUTE(LOWER(I3),"&amp;",""),"-",""),"  ","-")," ","-")</f>
        <v>produce-metrics</v>
      </c>
      <c r="K3" s="33" t="str">
        <f>Table4[[#This Row],[Intermediate Qualified System Name]]&amp;"--"&amp;Table4[[#This Row],[Collection Intermediate Qualified Name]]&amp;"--"&amp;Table4[[#This Row],[Dataset Intermediate Qualified Name]]</f>
        <v>nodered--nodered-flows--produce-metrics</v>
      </c>
      <c r="L3" t="s">
        <v>227</v>
      </c>
      <c r="M3" s="33" t="str">
        <f t="shared" ref="M3:M23" si="4">SUBSTITUTE(SUBSTITUTE(SUBSTITUTE(LOWER(L3),"&amp;",""),"  ","-")," ","-")</f>
        <v>scrap-counter</v>
      </c>
      <c r="N3" s="33" t="str">
        <f>Table4[[#This Row],[Intermediate Qualified System Name]]&amp;"--"&amp;Table4[[#This Row],[Collection Intermediate Qualified Name]]&amp;"--"&amp;Table4[[#This Row],[Dataset Intermediate Qualified Name]]&amp;"--"&amp;Table4[[#This Row],[Field Intermediate Qualified Name]]</f>
        <v>nodered--nodered-flows--produce-metrics--scrap-counter</v>
      </c>
      <c r="O3"/>
      <c r="P3" s="31" t="s">
        <v>184</v>
      </c>
      <c r="Q3"/>
    </row>
    <row r="4" spans="2:17" x14ac:dyDescent="0.3">
      <c r="B4">
        <v>3</v>
      </c>
      <c r="C4" s="31" t="s">
        <v>177</v>
      </c>
      <c r="D4" t="s">
        <v>235</v>
      </c>
      <c r="E4" t="s">
        <v>175</v>
      </c>
      <c r="F4" s="33" t="str">
        <f t="shared" si="0"/>
        <v>nodered</v>
      </c>
      <c r="G4" t="s">
        <v>242</v>
      </c>
      <c r="H4" s="33" t="str">
        <f t="shared" ref="H4:H45" si="5">SUBSTITUTE(SUBSTITUTE(SUBSTITUTE(SUBSTITUTE(LOWER(G4),"&amp;",""),"-",""),"  ","-")," ","-")</f>
        <v>nodered-flows</v>
      </c>
      <c r="I4" t="s">
        <v>243</v>
      </c>
      <c r="J4" s="33" t="str">
        <f t="shared" si="3"/>
        <v>produce-metrics</v>
      </c>
      <c r="K4" s="33" t="str">
        <f>Table4[[#This Row],[Intermediate Qualified System Name]]&amp;"--"&amp;Table4[[#This Row],[Collection Intermediate Qualified Name]]&amp;"--"&amp;Table4[[#This Row],[Dataset Intermediate Qualified Name]]</f>
        <v>nodered--nodered-flows--produce-metrics</v>
      </c>
      <c r="L4" t="s">
        <v>177</v>
      </c>
      <c r="M4" s="33" t="str">
        <f t="shared" si="4"/>
        <v>state</v>
      </c>
      <c r="N4" s="33" t="str">
        <f>Table4[[#This Row],[Intermediate Qualified System Name]]&amp;"--"&amp;Table4[[#This Row],[Collection Intermediate Qualified Name]]&amp;"--"&amp;Table4[[#This Row],[Dataset Intermediate Qualified Name]]&amp;"--"&amp;Table4[[#This Row],[Field Intermediate Qualified Name]]</f>
        <v>nodered--nodered-flows--produce-metrics--state</v>
      </c>
      <c r="O4"/>
      <c r="P4" t="s">
        <v>183</v>
      </c>
      <c r="Q4"/>
    </row>
    <row r="5" spans="2:17" x14ac:dyDescent="0.3">
      <c r="B5">
        <v>4</v>
      </c>
      <c r="C5" s="31" t="s">
        <v>213</v>
      </c>
      <c r="D5" t="s">
        <v>236</v>
      </c>
      <c r="E5" t="s">
        <v>175</v>
      </c>
      <c r="F5" s="33" t="str">
        <f t="shared" ref="F5:F45" si="6">SUBSTITUTE(SUBSTITUTE(SUBSTITUTE(SUBSTITUTE(LOWER(E5),"&amp;",""),"-",""),"  ","-")," ","-")</f>
        <v>nodered</v>
      </c>
      <c r="G5" t="s">
        <v>242</v>
      </c>
      <c r="H5" s="33" t="str">
        <f t="shared" si="5"/>
        <v>nodered-flows</v>
      </c>
      <c r="I5" t="s">
        <v>243</v>
      </c>
      <c r="J5" s="33" t="str">
        <f t="shared" si="3"/>
        <v>produce-metrics</v>
      </c>
      <c r="K5" s="33" t="str">
        <f>Table4[[#This Row],[Intermediate Qualified System Name]]&amp;"--"&amp;Table4[[#This Row],[Collection Intermediate Qualified Name]]&amp;"--"&amp;Table4[[#This Row],[Dataset Intermediate Qualified Name]]</f>
        <v>nodered--nodered-flows--produce-metrics</v>
      </c>
      <c r="L5" t="s">
        <v>213</v>
      </c>
      <c r="M5" s="33" t="str">
        <f t="shared" si="4"/>
        <v>air-pressure</v>
      </c>
      <c r="N5" s="33" t="str">
        <f>Table4[[#This Row],[Intermediate Qualified System Name]]&amp;"--"&amp;Table4[[#This Row],[Collection Intermediate Qualified Name]]&amp;"--"&amp;Table4[[#This Row],[Dataset Intermediate Qualified Name]]&amp;"--"&amp;Table4[[#This Row],[Field Intermediate Qualified Name]]</f>
        <v>nodered--nodered-flows--produce-metrics--air-pressure</v>
      </c>
      <c r="O5"/>
      <c r="P5" t="s">
        <v>268</v>
      </c>
      <c r="Q5"/>
    </row>
    <row r="6" spans="2:17" x14ac:dyDescent="0.3">
      <c r="B6">
        <v>5</v>
      </c>
      <c r="C6" s="31" t="s">
        <v>214</v>
      </c>
      <c r="D6" t="s">
        <v>237</v>
      </c>
      <c r="E6" t="s">
        <v>175</v>
      </c>
      <c r="F6" s="33" t="str">
        <f t="shared" si="6"/>
        <v>nodered</v>
      </c>
      <c r="G6" t="s">
        <v>242</v>
      </c>
      <c r="H6" s="33" t="str">
        <f t="shared" si="5"/>
        <v>nodered-flows</v>
      </c>
      <c r="I6" t="s">
        <v>243</v>
      </c>
      <c r="J6" s="33" t="str">
        <f t="shared" si="3"/>
        <v>produce-metrics</v>
      </c>
      <c r="K6" s="33" t="str">
        <f>Table4[[#This Row],[Intermediate Qualified System Name]]&amp;"--"&amp;Table4[[#This Row],[Collection Intermediate Qualified Name]]&amp;"--"&amp;Table4[[#This Row],[Dataset Intermediate Qualified Name]]</f>
        <v>nodered--nodered-flows--produce-metrics</v>
      </c>
      <c r="L6" t="s">
        <v>214</v>
      </c>
      <c r="M6" s="33" t="str">
        <f t="shared" si="4"/>
        <v>motor-temperature</v>
      </c>
      <c r="N6" s="33" t="str">
        <f>Table4[[#This Row],[Intermediate Qualified System Name]]&amp;"--"&amp;Table4[[#This Row],[Collection Intermediate Qualified Name]]&amp;"--"&amp;Table4[[#This Row],[Dataset Intermediate Qualified Name]]&amp;"--"&amp;Table4[[#This Row],[Field Intermediate Qualified Name]]</f>
        <v>nodered--nodered-flows--produce-metrics--motor-temperature</v>
      </c>
      <c r="O6"/>
      <c r="P6" t="s">
        <v>268</v>
      </c>
      <c r="Q6"/>
    </row>
    <row r="7" spans="2:17" x14ac:dyDescent="0.3">
      <c r="B7">
        <v>6</v>
      </c>
      <c r="C7" s="31" t="s">
        <v>215</v>
      </c>
      <c r="D7" t="s">
        <v>238</v>
      </c>
      <c r="E7" t="s">
        <v>175</v>
      </c>
      <c r="F7" s="33" t="str">
        <f t="shared" si="6"/>
        <v>nodered</v>
      </c>
      <c r="G7" t="s">
        <v>242</v>
      </c>
      <c r="H7" s="33" t="str">
        <f t="shared" si="5"/>
        <v>nodered-flows</v>
      </c>
      <c r="I7" t="s">
        <v>243</v>
      </c>
      <c r="J7" s="33" t="str">
        <f t="shared" si="3"/>
        <v>produce-metrics</v>
      </c>
      <c r="K7" s="33" t="str">
        <f>Table4[[#This Row],[Intermediate Qualified System Name]]&amp;"--"&amp;Table4[[#This Row],[Collection Intermediate Qualified Name]]&amp;"--"&amp;Table4[[#This Row],[Dataset Intermediate Qualified Name]]</f>
        <v>nodered--nodered-flows--produce-metrics</v>
      </c>
      <c r="L7" t="s">
        <v>215</v>
      </c>
      <c r="M7" s="33" t="str">
        <f t="shared" si="4"/>
        <v>total-power</v>
      </c>
      <c r="N7" s="33" t="str">
        <f>Table4[[#This Row],[Intermediate Qualified System Name]]&amp;"--"&amp;Table4[[#This Row],[Collection Intermediate Qualified Name]]&amp;"--"&amp;Table4[[#This Row],[Dataset Intermediate Qualified Name]]&amp;"--"&amp;Table4[[#This Row],[Field Intermediate Qualified Name]]</f>
        <v>nodered--nodered-flows--produce-metrics--total-power</v>
      </c>
      <c r="O7"/>
      <c r="P7" t="s">
        <v>268</v>
      </c>
      <c r="Q7"/>
    </row>
    <row r="8" spans="2:17" x14ac:dyDescent="0.3">
      <c r="B8">
        <v>7</v>
      </c>
      <c r="C8" s="31" t="s">
        <v>222</v>
      </c>
      <c r="D8" t="s">
        <v>239</v>
      </c>
      <c r="E8" t="s">
        <v>175</v>
      </c>
      <c r="F8" s="33" t="str">
        <f t="shared" si="6"/>
        <v>nodered</v>
      </c>
      <c r="G8" t="s">
        <v>242</v>
      </c>
      <c r="H8" s="33" t="str">
        <f t="shared" si="5"/>
        <v>nodered-flows</v>
      </c>
      <c r="I8" t="s">
        <v>243</v>
      </c>
      <c r="J8" s="33" t="str">
        <f t="shared" si="3"/>
        <v>produce-metrics</v>
      </c>
      <c r="K8" s="33" t="str">
        <f>Table4[[#This Row],[Intermediate Qualified System Name]]&amp;"--"&amp;Table4[[#This Row],[Collection Intermediate Qualified Name]]&amp;"--"&amp;Table4[[#This Row],[Dataset Intermediate Qualified Name]]</f>
        <v>nodered--nodered-flows--produce-metrics</v>
      </c>
      <c r="L8" t="s">
        <v>222</v>
      </c>
      <c r="M8" s="33" t="str">
        <f t="shared" si="4"/>
        <v>current-order</v>
      </c>
      <c r="N8" s="33" t="str">
        <f>Table4[[#This Row],[Intermediate Qualified System Name]]&amp;"--"&amp;Table4[[#This Row],[Collection Intermediate Qualified Name]]&amp;"--"&amp;Table4[[#This Row],[Dataset Intermediate Qualified Name]]&amp;"--"&amp;Table4[[#This Row],[Field Intermediate Qualified Name]]</f>
        <v>nodered--nodered-flows--produce-metrics--current-order</v>
      </c>
      <c r="O8"/>
      <c r="P8" t="s">
        <v>183</v>
      </c>
      <c r="Q8"/>
    </row>
    <row r="9" spans="2:17" x14ac:dyDescent="0.3">
      <c r="B9">
        <v>8</v>
      </c>
      <c r="C9" s="31" t="s">
        <v>221</v>
      </c>
      <c r="D9" t="s">
        <v>240</v>
      </c>
      <c r="E9" t="s">
        <v>175</v>
      </c>
      <c r="F9" s="33" t="str">
        <f t="shared" si="6"/>
        <v>nodered</v>
      </c>
      <c r="G9" t="s">
        <v>242</v>
      </c>
      <c r="H9" s="33" t="str">
        <f t="shared" si="5"/>
        <v>nodered-flows</v>
      </c>
      <c r="I9" t="s">
        <v>243</v>
      </c>
      <c r="J9" s="33" t="str">
        <f t="shared" si="3"/>
        <v>produce-metrics</v>
      </c>
      <c r="K9" s="33" t="str">
        <f>Table4[[#This Row],[Intermediate Qualified System Name]]&amp;"--"&amp;Table4[[#This Row],[Collection Intermediate Qualified Name]]&amp;"--"&amp;Table4[[#This Row],[Dataset Intermediate Qualified Name]]</f>
        <v>nodered--nodered-flows--produce-metrics</v>
      </c>
      <c r="L9" t="s">
        <v>221</v>
      </c>
      <c r="M9" s="33" t="str">
        <f t="shared" si="4"/>
        <v>next-order-number</v>
      </c>
      <c r="N9" s="33" t="str">
        <f>Table4[[#This Row],[Intermediate Qualified System Name]]&amp;"--"&amp;Table4[[#This Row],[Collection Intermediate Qualified Name]]&amp;"--"&amp;Table4[[#This Row],[Dataset Intermediate Qualified Name]]&amp;"--"&amp;Table4[[#This Row],[Field Intermediate Qualified Name]]</f>
        <v>nodered--nodered-flows--produce-metrics--next-order-number</v>
      </c>
      <c r="O9"/>
      <c r="P9" t="s">
        <v>183</v>
      </c>
      <c r="Q9"/>
    </row>
    <row r="10" spans="2:17" x14ac:dyDescent="0.3">
      <c r="B10">
        <v>9</v>
      </c>
      <c r="C10" s="31" t="s">
        <v>208</v>
      </c>
      <c r="D10" t="s">
        <v>233</v>
      </c>
      <c r="E10" t="s">
        <v>173</v>
      </c>
      <c r="F10" s="33" t="str">
        <f t="shared" si="6"/>
        <v>kafka-broker</v>
      </c>
      <c r="G10" t="s">
        <v>196</v>
      </c>
      <c r="H10" s="33" t="str">
        <f t="shared" si="5"/>
        <v>default-cluster</v>
      </c>
      <c r="I10" t="s">
        <v>244</v>
      </c>
      <c r="J10" s="33" t="str">
        <f t="shared" si="3"/>
        <v>iotexpometrics</v>
      </c>
      <c r="K10" s="33" t="str">
        <f>Table4[[#This Row],[Intermediate Qualified System Name]]&amp;"--"&amp;Table4[[#This Row],[Collection Intermediate Qualified Name]]&amp;"--"&amp;Table4[[#This Row],[Dataset Intermediate Qualified Name]]</f>
        <v>kafka-broker--default-cluster--iotexpometrics</v>
      </c>
      <c r="L10" t="s">
        <v>208</v>
      </c>
      <c r="M10" s="33" t="str">
        <f t="shared" si="4"/>
        <v>product-counter</v>
      </c>
      <c r="N10" s="33" t="str">
        <f>Table4[[#This Row],[Intermediate Qualified System Name]]&amp;"--"&amp;Table4[[#This Row],[Collection Intermediate Qualified Name]]&amp;"--"&amp;Table4[[#This Row],[Dataset Intermediate Qualified Name]]&amp;"--"&amp;Table4[[#This Row],[Field Intermediate Qualified Name]]</f>
        <v>kafka-broker--default-cluster--iotexpometrics--product-counter</v>
      </c>
      <c r="O10"/>
      <c r="P10" t="s">
        <v>184</v>
      </c>
      <c r="Q10"/>
    </row>
    <row r="11" spans="2:17" x14ac:dyDescent="0.3">
      <c r="B11">
        <v>10</v>
      </c>
      <c r="C11" s="31" t="s">
        <v>227</v>
      </c>
      <c r="D11" t="s">
        <v>234</v>
      </c>
      <c r="E11" t="s">
        <v>173</v>
      </c>
      <c r="F11" s="33" t="str">
        <f t="shared" si="6"/>
        <v>kafka-broker</v>
      </c>
      <c r="G11" t="s">
        <v>196</v>
      </c>
      <c r="H11" s="33" t="str">
        <f t="shared" si="5"/>
        <v>default-cluster</v>
      </c>
      <c r="I11" t="s">
        <v>244</v>
      </c>
      <c r="J11" s="33" t="str">
        <f t="shared" si="3"/>
        <v>iotexpometrics</v>
      </c>
      <c r="K11" s="33" t="str">
        <f>Table4[[#This Row],[Intermediate Qualified System Name]]&amp;"--"&amp;Table4[[#This Row],[Collection Intermediate Qualified Name]]&amp;"--"&amp;Table4[[#This Row],[Dataset Intermediate Qualified Name]]</f>
        <v>kafka-broker--default-cluster--iotexpometrics</v>
      </c>
      <c r="L11" t="s">
        <v>227</v>
      </c>
      <c r="M11" s="33" t="str">
        <f t="shared" si="4"/>
        <v>scrap-counter</v>
      </c>
      <c r="N11" s="33" t="str">
        <f>Table4[[#This Row],[Intermediate Qualified System Name]]&amp;"--"&amp;Table4[[#This Row],[Collection Intermediate Qualified Name]]&amp;"--"&amp;Table4[[#This Row],[Dataset Intermediate Qualified Name]]&amp;"--"&amp;Table4[[#This Row],[Field Intermediate Qualified Name]]</f>
        <v>kafka-broker--default-cluster--iotexpometrics--scrap-counter</v>
      </c>
      <c r="O11"/>
      <c r="P11" t="s">
        <v>3</v>
      </c>
      <c r="Q11"/>
    </row>
    <row r="12" spans="2:17" x14ac:dyDescent="0.3">
      <c r="B12">
        <v>11</v>
      </c>
      <c r="C12" s="31" t="s">
        <v>177</v>
      </c>
      <c r="D12" t="s">
        <v>235</v>
      </c>
      <c r="E12" t="s">
        <v>173</v>
      </c>
      <c r="F12" s="33" t="str">
        <f t="shared" si="6"/>
        <v>kafka-broker</v>
      </c>
      <c r="G12" t="s">
        <v>196</v>
      </c>
      <c r="H12" s="33" t="str">
        <f t="shared" si="5"/>
        <v>default-cluster</v>
      </c>
      <c r="I12" t="s">
        <v>244</v>
      </c>
      <c r="J12" s="33" t="str">
        <f t="shared" si="3"/>
        <v>iotexpometrics</v>
      </c>
      <c r="K12" s="33" t="str">
        <f>Table4[[#This Row],[Intermediate Qualified System Name]]&amp;"--"&amp;Table4[[#This Row],[Collection Intermediate Qualified Name]]&amp;"--"&amp;Table4[[#This Row],[Dataset Intermediate Qualified Name]]</f>
        <v>kafka-broker--default-cluster--iotexpometrics</v>
      </c>
      <c r="L12" t="s">
        <v>177</v>
      </c>
      <c r="M12" s="33" t="str">
        <f t="shared" si="4"/>
        <v>state</v>
      </c>
      <c r="N12" s="33" t="str">
        <f>Table4[[#This Row],[Intermediate Qualified System Name]]&amp;"--"&amp;Table4[[#This Row],[Collection Intermediate Qualified Name]]&amp;"--"&amp;Table4[[#This Row],[Dataset Intermediate Qualified Name]]&amp;"--"&amp;Table4[[#This Row],[Field Intermediate Qualified Name]]</f>
        <v>kafka-broker--default-cluster--iotexpometrics--state</v>
      </c>
      <c r="O12"/>
      <c r="P12" t="s">
        <v>184</v>
      </c>
      <c r="Q12"/>
    </row>
    <row r="13" spans="2:17" x14ac:dyDescent="0.3">
      <c r="B13">
        <v>12</v>
      </c>
      <c r="C13" s="31" t="s">
        <v>213</v>
      </c>
      <c r="D13" t="s">
        <v>236</v>
      </c>
      <c r="E13" t="s">
        <v>173</v>
      </c>
      <c r="F13" s="33" t="str">
        <f t="shared" si="6"/>
        <v>kafka-broker</v>
      </c>
      <c r="G13" t="s">
        <v>196</v>
      </c>
      <c r="H13" s="33" t="str">
        <f t="shared" si="5"/>
        <v>default-cluster</v>
      </c>
      <c r="I13" t="s">
        <v>244</v>
      </c>
      <c r="J13" s="33" t="str">
        <f t="shared" si="3"/>
        <v>iotexpometrics</v>
      </c>
      <c r="K13" s="33" t="str">
        <f>Table4[[#This Row],[Intermediate Qualified System Name]]&amp;"--"&amp;Table4[[#This Row],[Collection Intermediate Qualified Name]]&amp;"--"&amp;Table4[[#This Row],[Dataset Intermediate Qualified Name]]</f>
        <v>kafka-broker--default-cluster--iotexpometrics</v>
      </c>
      <c r="L13" t="s">
        <v>213</v>
      </c>
      <c r="M13" s="33" t="str">
        <f t="shared" si="4"/>
        <v>air-pressure</v>
      </c>
      <c r="N13" s="33" t="str">
        <f>Table4[[#This Row],[Intermediate Qualified System Name]]&amp;"--"&amp;Table4[[#This Row],[Collection Intermediate Qualified Name]]&amp;"--"&amp;Table4[[#This Row],[Dataset Intermediate Qualified Name]]&amp;"--"&amp;Table4[[#This Row],[Field Intermediate Qualified Name]]</f>
        <v>kafka-broker--default-cluster--iotexpometrics--air-pressure</v>
      </c>
      <c r="O13"/>
      <c r="P13" t="s">
        <v>184</v>
      </c>
      <c r="Q13"/>
    </row>
    <row r="14" spans="2:17" x14ac:dyDescent="0.3">
      <c r="B14">
        <v>13</v>
      </c>
      <c r="C14" s="31" t="s">
        <v>214</v>
      </c>
      <c r="D14" t="s">
        <v>237</v>
      </c>
      <c r="E14" t="s">
        <v>173</v>
      </c>
      <c r="F14" s="33" t="str">
        <f t="shared" si="6"/>
        <v>kafka-broker</v>
      </c>
      <c r="G14" t="s">
        <v>196</v>
      </c>
      <c r="H14" s="33" t="str">
        <f t="shared" si="5"/>
        <v>default-cluster</v>
      </c>
      <c r="I14" t="s">
        <v>244</v>
      </c>
      <c r="J14" s="33" t="str">
        <f t="shared" ref="J14:J20" si="7">SUBSTITUTE(SUBSTITUTE(SUBSTITUTE(SUBSTITUTE(LOWER(I14),"&amp;",""),"-",""),"  ","-")," ","-")</f>
        <v>iotexpometrics</v>
      </c>
      <c r="K14" s="33" t="str">
        <f>Table4[[#This Row],[Intermediate Qualified System Name]]&amp;"--"&amp;Table4[[#This Row],[Collection Intermediate Qualified Name]]&amp;"--"&amp;Table4[[#This Row],[Dataset Intermediate Qualified Name]]</f>
        <v>kafka-broker--default-cluster--iotexpometrics</v>
      </c>
      <c r="L14" t="s">
        <v>214</v>
      </c>
      <c r="M14" s="33" t="str">
        <f t="shared" si="4"/>
        <v>motor-temperature</v>
      </c>
      <c r="N14" s="33" t="str">
        <f>Table4[[#This Row],[Intermediate Qualified System Name]]&amp;"--"&amp;Table4[[#This Row],[Collection Intermediate Qualified Name]]&amp;"--"&amp;Table4[[#This Row],[Dataset Intermediate Qualified Name]]&amp;"--"&amp;Table4[[#This Row],[Field Intermediate Qualified Name]]</f>
        <v>kafka-broker--default-cluster--iotexpometrics--motor-temperature</v>
      </c>
      <c r="O14"/>
      <c r="P14" t="s">
        <v>183</v>
      </c>
      <c r="Q14"/>
    </row>
    <row r="15" spans="2:17" x14ac:dyDescent="0.3">
      <c r="B15">
        <v>14</v>
      </c>
      <c r="C15" s="31" t="s">
        <v>215</v>
      </c>
      <c r="D15" t="s">
        <v>238</v>
      </c>
      <c r="E15" t="s">
        <v>173</v>
      </c>
      <c r="F15" s="33" t="str">
        <f t="shared" si="6"/>
        <v>kafka-broker</v>
      </c>
      <c r="G15" t="s">
        <v>196</v>
      </c>
      <c r="H15" s="33" t="str">
        <f t="shared" si="5"/>
        <v>default-cluster</v>
      </c>
      <c r="I15" t="s">
        <v>244</v>
      </c>
      <c r="J15" s="33" t="str">
        <f t="shared" si="7"/>
        <v>iotexpometrics</v>
      </c>
      <c r="K15" s="33" t="str">
        <f>Table4[[#This Row],[Intermediate Qualified System Name]]&amp;"--"&amp;Table4[[#This Row],[Collection Intermediate Qualified Name]]&amp;"--"&amp;Table4[[#This Row],[Dataset Intermediate Qualified Name]]</f>
        <v>kafka-broker--default-cluster--iotexpometrics</v>
      </c>
      <c r="L15" t="s">
        <v>215</v>
      </c>
      <c r="M15" s="33" t="str">
        <f t="shared" si="4"/>
        <v>total-power</v>
      </c>
      <c r="N15" s="33" t="str">
        <f>Table4[[#This Row],[Intermediate Qualified System Name]]&amp;"--"&amp;Table4[[#This Row],[Collection Intermediate Qualified Name]]&amp;"--"&amp;Table4[[#This Row],[Dataset Intermediate Qualified Name]]&amp;"--"&amp;Table4[[#This Row],[Field Intermediate Qualified Name]]</f>
        <v>kafka-broker--default-cluster--iotexpometrics--total-power</v>
      </c>
      <c r="O15"/>
      <c r="P15" t="s">
        <v>183</v>
      </c>
      <c r="Q15"/>
    </row>
    <row r="16" spans="2:17" x14ac:dyDescent="0.3">
      <c r="B16">
        <v>15</v>
      </c>
      <c r="C16" s="31" t="s">
        <v>222</v>
      </c>
      <c r="D16" t="s">
        <v>239</v>
      </c>
      <c r="E16" t="s">
        <v>173</v>
      </c>
      <c r="F16" s="33" t="str">
        <f t="shared" si="6"/>
        <v>kafka-broker</v>
      </c>
      <c r="G16" t="s">
        <v>196</v>
      </c>
      <c r="H16" s="33" t="str">
        <f t="shared" si="5"/>
        <v>default-cluster</v>
      </c>
      <c r="I16" t="s">
        <v>244</v>
      </c>
      <c r="J16" s="33" t="str">
        <f t="shared" si="7"/>
        <v>iotexpometrics</v>
      </c>
      <c r="K16" s="33" t="str">
        <f>Table4[[#This Row],[Intermediate Qualified System Name]]&amp;"--"&amp;Table4[[#This Row],[Collection Intermediate Qualified Name]]&amp;"--"&amp;Table4[[#This Row],[Dataset Intermediate Qualified Name]]</f>
        <v>kafka-broker--default-cluster--iotexpometrics</v>
      </c>
      <c r="L16" t="s">
        <v>222</v>
      </c>
      <c r="M16" s="33" t="str">
        <f t="shared" si="4"/>
        <v>current-order</v>
      </c>
      <c r="N16" s="33" t="str">
        <f>Table4[[#This Row],[Intermediate Qualified System Name]]&amp;"--"&amp;Table4[[#This Row],[Collection Intermediate Qualified Name]]&amp;"--"&amp;Table4[[#This Row],[Dataset Intermediate Qualified Name]]&amp;"--"&amp;Table4[[#This Row],[Field Intermediate Qualified Name]]</f>
        <v>kafka-broker--default-cluster--iotexpometrics--current-order</v>
      </c>
      <c r="O16"/>
      <c r="P16" t="s">
        <v>183</v>
      </c>
      <c r="Q16"/>
    </row>
    <row r="17" spans="2:16" customFormat="1" x14ac:dyDescent="0.3">
      <c r="B17">
        <v>16</v>
      </c>
      <c r="C17" s="31" t="s">
        <v>221</v>
      </c>
      <c r="D17" t="s">
        <v>240</v>
      </c>
      <c r="E17" t="s">
        <v>173</v>
      </c>
      <c r="F17" s="33" t="str">
        <f t="shared" si="6"/>
        <v>kafka-broker</v>
      </c>
      <c r="G17" t="s">
        <v>196</v>
      </c>
      <c r="H17" s="33" t="str">
        <f t="shared" si="5"/>
        <v>default-cluster</v>
      </c>
      <c r="I17" t="s">
        <v>244</v>
      </c>
      <c r="J17" s="33" t="str">
        <f t="shared" si="7"/>
        <v>iotexpometrics</v>
      </c>
      <c r="K17" s="33" t="str">
        <f>Table4[[#This Row],[Intermediate Qualified System Name]]&amp;"--"&amp;Table4[[#This Row],[Collection Intermediate Qualified Name]]&amp;"--"&amp;Table4[[#This Row],[Dataset Intermediate Qualified Name]]</f>
        <v>kafka-broker--default-cluster--iotexpometrics</v>
      </c>
      <c r="L17" t="s">
        <v>221</v>
      </c>
      <c r="M17" s="33" t="str">
        <f t="shared" si="4"/>
        <v>next-order-number</v>
      </c>
      <c r="N17" s="33" t="str">
        <f>Table4[[#This Row],[Intermediate Qualified System Name]]&amp;"--"&amp;Table4[[#This Row],[Collection Intermediate Qualified Name]]&amp;"--"&amp;Table4[[#This Row],[Dataset Intermediate Qualified Name]]&amp;"--"&amp;Table4[[#This Row],[Field Intermediate Qualified Name]]</f>
        <v>kafka-broker--default-cluster--iotexpometrics--next-order-number</v>
      </c>
      <c r="P17" t="s">
        <v>183</v>
      </c>
    </row>
    <row r="18" spans="2:16" customFormat="1" x14ac:dyDescent="0.3">
      <c r="B18">
        <v>17</v>
      </c>
      <c r="C18" s="31" t="s">
        <v>208</v>
      </c>
      <c r="D18" t="s">
        <v>233</v>
      </c>
      <c r="E18" t="s">
        <v>174</v>
      </c>
      <c r="F18" s="33" t="str">
        <f t="shared" si="6"/>
        <v>ksql-server</v>
      </c>
      <c r="G18" t="s">
        <v>247</v>
      </c>
      <c r="H18" s="33" t="str">
        <f t="shared" si="5"/>
        <v>ksql-processed-data</v>
      </c>
      <c r="I18" t="s">
        <v>245</v>
      </c>
      <c r="J18" s="33" t="str">
        <f t="shared" si="7"/>
        <v>iotexpometricsavro</v>
      </c>
      <c r="K18" s="33" t="str">
        <f>Table4[[#This Row],[Intermediate Qualified System Name]]&amp;"--"&amp;Table4[[#This Row],[Collection Intermediate Qualified Name]]&amp;"--"&amp;Table4[[#This Row],[Dataset Intermediate Qualified Name]]</f>
        <v>ksql-server--ksql-processed-data--iotexpometricsavro</v>
      </c>
      <c r="L18" t="s">
        <v>208</v>
      </c>
      <c r="M18" s="33" t="str">
        <f t="shared" ref="M18:M19" si="8">SUBSTITUTE(SUBSTITUTE(SUBSTITUTE(LOWER(L18),"&amp;",""),"  ","-")," ","-")</f>
        <v>product-counter</v>
      </c>
      <c r="N18" s="33" t="str">
        <f>Table4[[#This Row],[Intermediate Qualified System Name]]&amp;"--"&amp;Table4[[#This Row],[Collection Intermediate Qualified Name]]&amp;"--"&amp;Table4[[#This Row],[Dataset Intermediate Qualified Name]]&amp;"--"&amp;Table4[[#This Row],[Field Intermediate Qualified Name]]</f>
        <v>ksql-server--ksql-processed-data--iotexpometricsavro--product-counter</v>
      </c>
      <c r="P18" t="s">
        <v>184</v>
      </c>
    </row>
    <row r="19" spans="2:16" customFormat="1" x14ac:dyDescent="0.3">
      <c r="B19">
        <v>18</v>
      </c>
      <c r="C19" s="31" t="s">
        <v>227</v>
      </c>
      <c r="D19" t="s">
        <v>234</v>
      </c>
      <c r="E19" t="s">
        <v>174</v>
      </c>
      <c r="F19" s="33" t="str">
        <f t="shared" si="6"/>
        <v>ksql-server</v>
      </c>
      <c r="G19" t="s">
        <v>247</v>
      </c>
      <c r="H19" s="33" t="str">
        <f t="shared" si="5"/>
        <v>ksql-processed-data</v>
      </c>
      <c r="I19" t="s">
        <v>245</v>
      </c>
      <c r="J19" s="33" t="str">
        <f t="shared" si="7"/>
        <v>iotexpometricsavro</v>
      </c>
      <c r="K19" s="33" t="str">
        <f>Table4[[#This Row],[Intermediate Qualified System Name]]&amp;"--"&amp;Table4[[#This Row],[Collection Intermediate Qualified Name]]&amp;"--"&amp;Table4[[#This Row],[Dataset Intermediate Qualified Name]]</f>
        <v>ksql-server--ksql-processed-data--iotexpometricsavro</v>
      </c>
      <c r="L19" t="s">
        <v>227</v>
      </c>
      <c r="M19" s="33" t="str">
        <f t="shared" si="8"/>
        <v>scrap-counter</v>
      </c>
      <c r="N19" s="33" t="str">
        <f>Table4[[#This Row],[Intermediate Qualified System Name]]&amp;"--"&amp;Table4[[#This Row],[Collection Intermediate Qualified Name]]&amp;"--"&amp;Table4[[#This Row],[Dataset Intermediate Qualified Name]]&amp;"--"&amp;Table4[[#This Row],[Field Intermediate Qualified Name]]</f>
        <v>ksql-server--ksql-processed-data--iotexpometricsavro--scrap-counter</v>
      </c>
      <c r="P19" s="31" t="s">
        <v>184</v>
      </c>
    </row>
    <row r="20" spans="2:16" customFormat="1" x14ac:dyDescent="0.3">
      <c r="B20">
        <v>19</v>
      </c>
      <c r="C20" s="31" t="s">
        <v>177</v>
      </c>
      <c r="D20" t="s">
        <v>235</v>
      </c>
      <c r="E20" t="s">
        <v>174</v>
      </c>
      <c r="F20" s="33" t="str">
        <f t="shared" si="6"/>
        <v>ksql-server</v>
      </c>
      <c r="G20" t="s">
        <v>247</v>
      </c>
      <c r="H20" s="33" t="str">
        <f t="shared" si="5"/>
        <v>ksql-processed-data</v>
      </c>
      <c r="I20" t="s">
        <v>245</v>
      </c>
      <c r="J20" s="33" t="str">
        <f t="shared" si="7"/>
        <v>iotexpometricsavro</v>
      </c>
      <c r="K20" s="33" t="str">
        <f>Table4[[#This Row],[Intermediate Qualified System Name]]&amp;"--"&amp;Table4[[#This Row],[Collection Intermediate Qualified Name]]&amp;"--"&amp;Table4[[#This Row],[Dataset Intermediate Qualified Name]]</f>
        <v>ksql-server--ksql-processed-data--iotexpometricsavro</v>
      </c>
      <c r="L20" t="s">
        <v>177</v>
      </c>
      <c r="M20" s="33" t="str">
        <f t="shared" si="4"/>
        <v>state</v>
      </c>
      <c r="N20" s="33" t="str">
        <f>Table4[[#This Row],[Intermediate Qualified System Name]]&amp;"--"&amp;Table4[[#This Row],[Collection Intermediate Qualified Name]]&amp;"--"&amp;Table4[[#This Row],[Dataset Intermediate Qualified Name]]&amp;"--"&amp;Table4[[#This Row],[Field Intermediate Qualified Name]]</f>
        <v>ksql-server--ksql-processed-data--iotexpometricsavro--state</v>
      </c>
      <c r="P20" t="s">
        <v>183</v>
      </c>
    </row>
    <row r="21" spans="2:16" customFormat="1" x14ac:dyDescent="0.3">
      <c r="B21">
        <v>20</v>
      </c>
      <c r="C21" s="31" t="s">
        <v>213</v>
      </c>
      <c r="D21" t="s">
        <v>236</v>
      </c>
      <c r="E21" t="s">
        <v>174</v>
      </c>
      <c r="F21" s="33" t="str">
        <f t="shared" si="6"/>
        <v>ksql-server</v>
      </c>
      <c r="G21" t="s">
        <v>247</v>
      </c>
      <c r="H21" s="33" t="str">
        <f t="shared" si="5"/>
        <v>ksql-processed-data</v>
      </c>
      <c r="I21" t="s">
        <v>245</v>
      </c>
      <c r="J21" s="33" t="str">
        <f t="shared" si="3"/>
        <v>iotexpometricsavro</v>
      </c>
      <c r="K21" s="33" t="str">
        <f>Table4[[#This Row],[Intermediate Qualified System Name]]&amp;"--"&amp;Table4[[#This Row],[Collection Intermediate Qualified Name]]&amp;"--"&amp;Table4[[#This Row],[Dataset Intermediate Qualified Name]]</f>
        <v>ksql-server--ksql-processed-data--iotexpometricsavro</v>
      </c>
      <c r="L21" t="s">
        <v>213</v>
      </c>
      <c r="M21" s="33" t="str">
        <f t="shared" si="4"/>
        <v>air-pressure</v>
      </c>
      <c r="N21" s="33" t="str">
        <f>Table4[[#This Row],[Intermediate Qualified System Name]]&amp;"--"&amp;Table4[[#This Row],[Collection Intermediate Qualified Name]]&amp;"--"&amp;Table4[[#This Row],[Dataset Intermediate Qualified Name]]&amp;"--"&amp;Table4[[#This Row],[Field Intermediate Qualified Name]]</f>
        <v>ksql-server--ksql-processed-data--iotexpometricsavro--air-pressure</v>
      </c>
      <c r="P21" t="s">
        <v>268</v>
      </c>
    </row>
    <row r="22" spans="2:16" customFormat="1" x14ac:dyDescent="0.3">
      <c r="B22">
        <v>21</v>
      </c>
      <c r="C22" s="31" t="s">
        <v>214</v>
      </c>
      <c r="D22" t="s">
        <v>237</v>
      </c>
      <c r="E22" t="s">
        <v>174</v>
      </c>
      <c r="F22" s="33" t="str">
        <f t="shared" si="6"/>
        <v>ksql-server</v>
      </c>
      <c r="G22" t="s">
        <v>247</v>
      </c>
      <c r="H22" s="33" t="str">
        <f t="shared" si="5"/>
        <v>ksql-processed-data</v>
      </c>
      <c r="I22" t="s">
        <v>245</v>
      </c>
      <c r="J22" s="33" t="str">
        <f t="shared" si="3"/>
        <v>iotexpometricsavro</v>
      </c>
      <c r="K22" s="33" t="str">
        <f>Table4[[#This Row],[Intermediate Qualified System Name]]&amp;"--"&amp;Table4[[#This Row],[Collection Intermediate Qualified Name]]&amp;"--"&amp;Table4[[#This Row],[Dataset Intermediate Qualified Name]]</f>
        <v>ksql-server--ksql-processed-data--iotexpometricsavro</v>
      </c>
      <c r="L22" t="s">
        <v>214</v>
      </c>
      <c r="M22" s="33" t="str">
        <f t="shared" si="4"/>
        <v>motor-temperature</v>
      </c>
      <c r="N22" s="33" t="str">
        <f>Table4[[#This Row],[Intermediate Qualified System Name]]&amp;"--"&amp;Table4[[#This Row],[Collection Intermediate Qualified Name]]&amp;"--"&amp;Table4[[#This Row],[Dataset Intermediate Qualified Name]]&amp;"--"&amp;Table4[[#This Row],[Field Intermediate Qualified Name]]</f>
        <v>ksql-server--ksql-processed-data--iotexpometricsavro--motor-temperature</v>
      </c>
      <c r="P22" t="s">
        <v>268</v>
      </c>
    </row>
    <row r="23" spans="2:16" customFormat="1" x14ac:dyDescent="0.3">
      <c r="B23">
        <v>22</v>
      </c>
      <c r="C23" s="31" t="s">
        <v>215</v>
      </c>
      <c r="D23" t="s">
        <v>238</v>
      </c>
      <c r="E23" t="s">
        <v>174</v>
      </c>
      <c r="F23" s="33" t="str">
        <f t="shared" si="6"/>
        <v>ksql-server</v>
      </c>
      <c r="G23" t="s">
        <v>247</v>
      </c>
      <c r="H23" s="33" t="str">
        <f t="shared" si="5"/>
        <v>ksql-processed-data</v>
      </c>
      <c r="I23" t="s">
        <v>245</v>
      </c>
      <c r="J23" s="33" t="str">
        <f t="shared" si="3"/>
        <v>iotexpometricsavro</v>
      </c>
      <c r="K23" s="33" t="str">
        <f>Table4[[#This Row],[Intermediate Qualified System Name]]&amp;"--"&amp;Table4[[#This Row],[Collection Intermediate Qualified Name]]&amp;"--"&amp;Table4[[#This Row],[Dataset Intermediate Qualified Name]]</f>
        <v>ksql-server--ksql-processed-data--iotexpometricsavro</v>
      </c>
      <c r="L23" t="s">
        <v>215</v>
      </c>
      <c r="M23" s="33" t="str">
        <f t="shared" si="4"/>
        <v>total-power</v>
      </c>
      <c r="N23" s="33" t="str">
        <f>Table4[[#This Row],[Intermediate Qualified System Name]]&amp;"--"&amp;Table4[[#This Row],[Collection Intermediate Qualified Name]]&amp;"--"&amp;Table4[[#This Row],[Dataset Intermediate Qualified Name]]&amp;"--"&amp;Table4[[#This Row],[Field Intermediate Qualified Name]]</f>
        <v>ksql-server--ksql-processed-data--iotexpometricsavro--total-power</v>
      </c>
      <c r="P23" t="s">
        <v>268</v>
      </c>
    </row>
    <row r="24" spans="2:16" customFormat="1" x14ac:dyDescent="0.3">
      <c r="B24">
        <v>23</v>
      </c>
      <c r="C24" s="31" t="s">
        <v>222</v>
      </c>
      <c r="D24" t="s">
        <v>239</v>
      </c>
      <c r="E24" t="s">
        <v>174</v>
      </c>
      <c r="F24" s="33" t="str">
        <f t="shared" si="6"/>
        <v>ksql-server</v>
      </c>
      <c r="G24" t="s">
        <v>247</v>
      </c>
      <c r="H24" s="33" t="str">
        <f t="shared" si="5"/>
        <v>ksql-processed-data</v>
      </c>
      <c r="I24" t="s">
        <v>245</v>
      </c>
      <c r="J24" s="33" t="str">
        <f t="shared" ref="J24:J35" si="9">SUBSTITUTE(SUBSTITUTE(SUBSTITUTE(SUBSTITUTE(LOWER(I24),"&amp;",""),"-",""),"  ","-")," ","-")</f>
        <v>iotexpometricsavro</v>
      </c>
      <c r="K24" s="33" t="str">
        <f>Table4[[#This Row],[Intermediate Qualified System Name]]&amp;"--"&amp;Table4[[#This Row],[Collection Intermediate Qualified Name]]&amp;"--"&amp;Table4[[#This Row],[Dataset Intermediate Qualified Name]]</f>
        <v>ksql-server--ksql-processed-data--iotexpometricsavro</v>
      </c>
      <c r="L24" t="s">
        <v>222</v>
      </c>
      <c r="M24" s="33" t="str">
        <f t="shared" ref="M24:M35" si="10">SUBSTITUTE(SUBSTITUTE(SUBSTITUTE(LOWER(L24),"&amp;",""),"  ","-")," ","-")</f>
        <v>current-order</v>
      </c>
      <c r="N24" s="33" t="str">
        <f>Table4[[#This Row],[Intermediate Qualified System Name]]&amp;"--"&amp;Table4[[#This Row],[Collection Intermediate Qualified Name]]&amp;"--"&amp;Table4[[#This Row],[Dataset Intermediate Qualified Name]]&amp;"--"&amp;Table4[[#This Row],[Field Intermediate Qualified Name]]</f>
        <v>ksql-server--ksql-processed-data--iotexpometricsavro--current-order</v>
      </c>
      <c r="P24" t="s">
        <v>183</v>
      </c>
    </row>
    <row r="25" spans="2:16" customFormat="1" x14ac:dyDescent="0.3">
      <c r="B25">
        <v>24</v>
      </c>
      <c r="C25" s="31" t="s">
        <v>221</v>
      </c>
      <c r="D25" t="s">
        <v>240</v>
      </c>
      <c r="E25" t="s">
        <v>174</v>
      </c>
      <c r="F25" s="33" t="str">
        <f t="shared" si="6"/>
        <v>ksql-server</v>
      </c>
      <c r="G25" t="s">
        <v>247</v>
      </c>
      <c r="H25" s="33" t="str">
        <f t="shared" si="5"/>
        <v>ksql-processed-data</v>
      </c>
      <c r="I25" t="s">
        <v>245</v>
      </c>
      <c r="J25" s="33" t="str">
        <f t="shared" si="9"/>
        <v>iotexpometricsavro</v>
      </c>
      <c r="K25" s="33" t="str">
        <f>Table4[[#This Row],[Intermediate Qualified System Name]]&amp;"--"&amp;Table4[[#This Row],[Collection Intermediate Qualified Name]]&amp;"--"&amp;Table4[[#This Row],[Dataset Intermediate Qualified Name]]</f>
        <v>ksql-server--ksql-processed-data--iotexpometricsavro</v>
      </c>
      <c r="L25" t="s">
        <v>221</v>
      </c>
      <c r="M25" s="33" t="str">
        <f t="shared" si="10"/>
        <v>next-order-number</v>
      </c>
      <c r="N25" s="33" t="str">
        <f>Table4[[#This Row],[Intermediate Qualified System Name]]&amp;"--"&amp;Table4[[#This Row],[Collection Intermediate Qualified Name]]&amp;"--"&amp;Table4[[#This Row],[Dataset Intermediate Qualified Name]]&amp;"--"&amp;Table4[[#This Row],[Field Intermediate Qualified Name]]</f>
        <v>ksql-server--ksql-processed-data--iotexpometricsavro--next-order-number</v>
      </c>
      <c r="P25" t="s">
        <v>183</v>
      </c>
    </row>
    <row r="26" spans="2:16" customFormat="1" x14ac:dyDescent="0.3">
      <c r="B26">
        <v>25</v>
      </c>
      <c r="C26" s="31" t="s">
        <v>208</v>
      </c>
      <c r="D26" t="s">
        <v>233</v>
      </c>
      <c r="E26" t="s">
        <v>246</v>
      </c>
      <c r="F26" s="33" t="str">
        <f t="shared" si="6"/>
        <v>telegraf</v>
      </c>
      <c r="G26" t="s">
        <v>252</v>
      </c>
      <c r="H26" s="33" t="str">
        <f t="shared" si="5"/>
        <v>telegraf-metrics</v>
      </c>
      <c r="I26" t="s">
        <v>248</v>
      </c>
      <c r="J26" s="33" t="str">
        <f t="shared" si="9"/>
        <v>iotmetricsbucket</v>
      </c>
      <c r="K26" s="33" t="str">
        <f>Table4[[#This Row],[Intermediate Qualified System Name]]&amp;"--"&amp;Table4[[#This Row],[Collection Intermediate Qualified Name]]&amp;"--"&amp;Table4[[#This Row],[Dataset Intermediate Qualified Name]]</f>
        <v>telegraf--telegraf-metrics--iotmetricsbucket</v>
      </c>
      <c r="L26" t="s">
        <v>208</v>
      </c>
      <c r="M26" s="33" t="str">
        <f t="shared" si="10"/>
        <v>product-counter</v>
      </c>
      <c r="N26" s="33" t="str">
        <f>Table4[[#This Row],[Intermediate Qualified System Name]]&amp;"--"&amp;Table4[[#This Row],[Collection Intermediate Qualified Name]]&amp;"--"&amp;Table4[[#This Row],[Dataset Intermediate Qualified Name]]&amp;"--"&amp;Table4[[#This Row],[Field Intermediate Qualified Name]]</f>
        <v>telegraf--telegraf-metrics--iotmetricsbucket--product-counter</v>
      </c>
      <c r="P26" t="s">
        <v>184</v>
      </c>
    </row>
    <row r="27" spans="2:16" customFormat="1" x14ac:dyDescent="0.3">
      <c r="B27">
        <v>26</v>
      </c>
      <c r="C27" s="31" t="s">
        <v>227</v>
      </c>
      <c r="D27" t="s">
        <v>234</v>
      </c>
      <c r="E27" t="s">
        <v>246</v>
      </c>
      <c r="F27" s="33" t="str">
        <f t="shared" si="6"/>
        <v>telegraf</v>
      </c>
      <c r="G27" t="s">
        <v>252</v>
      </c>
      <c r="H27" s="33" t="str">
        <f t="shared" si="5"/>
        <v>telegraf-metrics</v>
      </c>
      <c r="I27" t="s">
        <v>248</v>
      </c>
      <c r="J27" s="33" t="str">
        <f t="shared" si="9"/>
        <v>iotmetricsbucket</v>
      </c>
      <c r="K27" s="33" t="str">
        <f>Table4[[#This Row],[Intermediate Qualified System Name]]&amp;"--"&amp;Table4[[#This Row],[Collection Intermediate Qualified Name]]&amp;"--"&amp;Table4[[#This Row],[Dataset Intermediate Qualified Name]]</f>
        <v>telegraf--telegraf-metrics--iotmetricsbucket</v>
      </c>
      <c r="L27" t="s">
        <v>227</v>
      </c>
      <c r="M27" s="33" t="str">
        <f t="shared" si="10"/>
        <v>scrap-counter</v>
      </c>
      <c r="N27" s="33" t="str">
        <f>Table4[[#This Row],[Intermediate Qualified System Name]]&amp;"--"&amp;Table4[[#This Row],[Collection Intermediate Qualified Name]]&amp;"--"&amp;Table4[[#This Row],[Dataset Intermediate Qualified Name]]&amp;"--"&amp;Table4[[#This Row],[Field Intermediate Qualified Name]]</f>
        <v>telegraf--telegraf-metrics--iotmetricsbucket--scrap-counter</v>
      </c>
      <c r="P27" s="31" t="s">
        <v>184</v>
      </c>
    </row>
    <row r="28" spans="2:16" customFormat="1" x14ac:dyDescent="0.3">
      <c r="B28">
        <v>27</v>
      </c>
      <c r="C28" s="31" t="s">
        <v>177</v>
      </c>
      <c r="D28" t="s">
        <v>235</v>
      </c>
      <c r="E28" t="s">
        <v>246</v>
      </c>
      <c r="F28" s="33" t="str">
        <f t="shared" si="6"/>
        <v>telegraf</v>
      </c>
      <c r="G28" t="s">
        <v>252</v>
      </c>
      <c r="H28" s="33" t="str">
        <f t="shared" si="5"/>
        <v>telegraf-metrics</v>
      </c>
      <c r="I28" t="s">
        <v>248</v>
      </c>
      <c r="J28" s="33" t="str">
        <f t="shared" si="9"/>
        <v>iotmetricsbucket</v>
      </c>
      <c r="K28" s="33" t="str">
        <f>Table4[[#This Row],[Intermediate Qualified System Name]]&amp;"--"&amp;Table4[[#This Row],[Collection Intermediate Qualified Name]]&amp;"--"&amp;Table4[[#This Row],[Dataset Intermediate Qualified Name]]</f>
        <v>telegraf--telegraf-metrics--iotmetricsbucket</v>
      </c>
      <c r="L28" t="s">
        <v>177</v>
      </c>
      <c r="M28" s="33" t="str">
        <f>SUBSTITUTE(SUBSTITUTE(SUBSTITUTE(LOWER(L28),"&amp;",""),"  ","-")," ","-")</f>
        <v>state</v>
      </c>
      <c r="N28" s="33" t="str">
        <f>Table4[[#This Row],[Intermediate Qualified System Name]]&amp;"--"&amp;Table4[[#This Row],[Collection Intermediate Qualified Name]]&amp;"--"&amp;Table4[[#This Row],[Dataset Intermediate Qualified Name]]&amp;"--"&amp;Table4[[#This Row],[Field Intermediate Qualified Name]]</f>
        <v>telegraf--telegraf-metrics--iotmetricsbucket--state</v>
      </c>
      <c r="P28" t="s">
        <v>183</v>
      </c>
    </row>
    <row r="29" spans="2:16" customFormat="1" x14ac:dyDescent="0.3">
      <c r="B29">
        <v>28</v>
      </c>
      <c r="C29" s="31" t="s">
        <v>213</v>
      </c>
      <c r="D29" t="s">
        <v>236</v>
      </c>
      <c r="E29" t="s">
        <v>246</v>
      </c>
      <c r="F29" s="33" t="str">
        <f t="shared" si="6"/>
        <v>telegraf</v>
      </c>
      <c r="G29" t="s">
        <v>252</v>
      </c>
      <c r="H29" s="33" t="str">
        <f t="shared" si="5"/>
        <v>telegraf-metrics</v>
      </c>
      <c r="I29" t="s">
        <v>248</v>
      </c>
      <c r="J29" s="33" t="str">
        <f t="shared" si="9"/>
        <v>iotmetricsbucket</v>
      </c>
      <c r="K29" s="33" t="str">
        <f>Table4[[#This Row],[Intermediate Qualified System Name]]&amp;"--"&amp;Table4[[#This Row],[Collection Intermediate Qualified Name]]&amp;"--"&amp;Table4[[#This Row],[Dataset Intermediate Qualified Name]]</f>
        <v>telegraf--telegraf-metrics--iotmetricsbucket</v>
      </c>
      <c r="L29" t="s">
        <v>213</v>
      </c>
      <c r="M29" s="33" t="str">
        <f>SUBSTITUTE(SUBSTITUTE(SUBSTITUTE(LOWER(L29),"&amp;",""),"  ","-")," ","-")</f>
        <v>air-pressure</v>
      </c>
      <c r="N29" s="33" t="str">
        <f>Table4[[#This Row],[Intermediate Qualified System Name]]&amp;"--"&amp;Table4[[#This Row],[Collection Intermediate Qualified Name]]&amp;"--"&amp;Table4[[#This Row],[Dataset Intermediate Qualified Name]]&amp;"--"&amp;Table4[[#This Row],[Field Intermediate Qualified Name]]</f>
        <v>telegraf--telegraf-metrics--iotmetricsbucket--air-pressure</v>
      </c>
      <c r="P29" t="s">
        <v>268</v>
      </c>
    </row>
    <row r="30" spans="2:16" customFormat="1" x14ac:dyDescent="0.3">
      <c r="B30">
        <v>29</v>
      </c>
      <c r="C30" s="31" t="s">
        <v>214</v>
      </c>
      <c r="D30" t="s">
        <v>237</v>
      </c>
      <c r="E30" t="s">
        <v>246</v>
      </c>
      <c r="F30" s="33" t="str">
        <f t="shared" si="6"/>
        <v>telegraf</v>
      </c>
      <c r="G30" t="s">
        <v>252</v>
      </c>
      <c r="H30" s="33" t="str">
        <f t="shared" si="5"/>
        <v>telegraf-metrics</v>
      </c>
      <c r="I30" t="s">
        <v>248</v>
      </c>
      <c r="J30" s="33" t="str">
        <f t="shared" si="9"/>
        <v>iotmetricsbucket</v>
      </c>
      <c r="K30" s="33" t="str">
        <f>Table4[[#This Row],[Intermediate Qualified System Name]]&amp;"--"&amp;Table4[[#This Row],[Collection Intermediate Qualified Name]]&amp;"--"&amp;Table4[[#This Row],[Dataset Intermediate Qualified Name]]</f>
        <v>telegraf--telegraf-metrics--iotmetricsbucket</v>
      </c>
      <c r="L30" t="s">
        <v>214</v>
      </c>
      <c r="M30" s="33" t="str">
        <f>SUBSTITUTE(SUBSTITUTE(SUBSTITUTE(LOWER(L30),"&amp;",""),"  ","-")," ","-")</f>
        <v>motor-temperature</v>
      </c>
      <c r="N30" s="33" t="str">
        <f>Table4[[#This Row],[Intermediate Qualified System Name]]&amp;"--"&amp;Table4[[#This Row],[Collection Intermediate Qualified Name]]&amp;"--"&amp;Table4[[#This Row],[Dataset Intermediate Qualified Name]]&amp;"--"&amp;Table4[[#This Row],[Field Intermediate Qualified Name]]</f>
        <v>telegraf--telegraf-metrics--iotmetricsbucket--motor-temperature</v>
      </c>
      <c r="P30" t="s">
        <v>268</v>
      </c>
    </row>
    <row r="31" spans="2:16" customFormat="1" x14ac:dyDescent="0.3">
      <c r="B31">
        <v>30</v>
      </c>
      <c r="C31" s="31" t="s">
        <v>215</v>
      </c>
      <c r="D31" t="s">
        <v>238</v>
      </c>
      <c r="E31" t="s">
        <v>246</v>
      </c>
      <c r="F31" s="33" t="str">
        <f t="shared" si="6"/>
        <v>telegraf</v>
      </c>
      <c r="G31" t="s">
        <v>252</v>
      </c>
      <c r="H31" s="33" t="str">
        <f t="shared" si="5"/>
        <v>telegraf-metrics</v>
      </c>
      <c r="I31" t="s">
        <v>248</v>
      </c>
      <c r="J31" s="33" t="str">
        <f t="shared" si="9"/>
        <v>iotmetricsbucket</v>
      </c>
      <c r="K31" s="33" t="str">
        <f>Table4[[#This Row],[Intermediate Qualified System Name]]&amp;"--"&amp;Table4[[#This Row],[Collection Intermediate Qualified Name]]&amp;"--"&amp;Table4[[#This Row],[Dataset Intermediate Qualified Name]]</f>
        <v>telegraf--telegraf-metrics--iotmetricsbucket</v>
      </c>
      <c r="L31" t="s">
        <v>215</v>
      </c>
      <c r="M31" s="33" t="str">
        <f>SUBSTITUTE(SUBSTITUTE(SUBSTITUTE(LOWER(L31),"&amp;",""),"  ","-")," ","-")</f>
        <v>total-power</v>
      </c>
      <c r="N31" s="33" t="str">
        <f>Table4[[#This Row],[Intermediate Qualified System Name]]&amp;"--"&amp;Table4[[#This Row],[Collection Intermediate Qualified Name]]&amp;"--"&amp;Table4[[#This Row],[Dataset Intermediate Qualified Name]]&amp;"--"&amp;Table4[[#This Row],[Field Intermediate Qualified Name]]</f>
        <v>telegraf--telegraf-metrics--iotmetricsbucket--total-power</v>
      </c>
      <c r="P31" t="s">
        <v>268</v>
      </c>
    </row>
    <row r="32" spans="2:16" customFormat="1" x14ac:dyDescent="0.3">
      <c r="B32">
        <v>31</v>
      </c>
      <c r="C32" s="31" t="s">
        <v>222</v>
      </c>
      <c r="D32" t="s">
        <v>239</v>
      </c>
      <c r="E32" t="s">
        <v>246</v>
      </c>
      <c r="F32" s="33" t="str">
        <f t="shared" si="6"/>
        <v>telegraf</v>
      </c>
      <c r="G32" t="s">
        <v>252</v>
      </c>
      <c r="H32" s="33" t="str">
        <f t="shared" si="5"/>
        <v>telegraf-metrics</v>
      </c>
      <c r="I32" t="s">
        <v>248</v>
      </c>
      <c r="J32" s="33" t="str">
        <f t="shared" si="9"/>
        <v>iotmetricsbucket</v>
      </c>
      <c r="K32" s="33" t="str">
        <f>Table4[[#This Row],[Intermediate Qualified System Name]]&amp;"--"&amp;Table4[[#This Row],[Collection Intermediate Qualified Name]]&amp;"--"&amp;Table4[[#This Row],[Dataset Intermediate Qualified Name]]</f>
        <v>telegraf--telegraf-metrics--iotmetricsbucket</v>
      </c>
      <c r="L32" t="s">
        <v>222</v>
      </c>
      <c r="M32" s="33" t="str">
        <f>SUBSTITUTE(SUBSTITUTE(SUBSTITUTE(LOWER(L32),"&amp;",""),"  ","-")," ","-")</f>
        <v>current-order</v>
      </c>
      <c r="N32" s="33" t="str">
        <f>Table4[[#This Row],[Intermediate Qualified System Name]]&amp;"--"&amp;Table4[[#This Row],[Collection Intermediate Qualified Name]]&amp;"--"&amp;Table4[[#This Row],[Dataset Intermediate Qualified Name]]&amp;"--"&amp;Table4[[#This Row],[Field Intermediate Qualified Name]]</f>
        <v>telegraf--telegraf-metrics--iotmetricsbucket--current-order</v>
      </c>
      <c r="P32" t="s">
        <v>183</v>
      </c>
    </row>
    <row r="33" spans="2:17" x14ac:dyDescent="0.3">
      <c r="B33">
        <v>32</v>
      </c>
      <c r="C33" s="31" t="s">
        <v>221</v>
      </c>
      <c r="D33" t="s">
        <v>240</v>
      </c>
      <c r="E33" t="s">
        <v>246</v>
      </c>
      <c r="F33" s="33" t="str">
        <f t="shared" ref="F33:F44" si="11">SUBSTITUTE(SUBSTITUTE(SUBSTITUTE(SUBSTITUTE(LOWER(E33),"&amp;",""),"-",""),"  ","-")," ","-")</f>
        <v>telegraf</v>
      </c>
      <c r="G33" t="s">
        <v>252</v>
      </c>
      <c r="H33" s="33" t="str">
        <f t="shared" ref="H33:H44" si="12">SUBSTITUTE(SUBSTITUTE(SUBSTITUTE(SUBSTITUTE(LOWER(G33),"&amp;",""),"-",""),"  ","-")," ","-")</f>
        <v>telegraf-metrics</v>
      </c>
      <c r="I33" t="s">
        <v>248</v>
      </c>
      <c r="J33" s="33" t="str">
        <f t="shared" si="9"/>
        <v>iotmetricsbucket</v>
      </c>
      <c r="K33" s="33" t="str">
        <f>Table4[[#This Row],[Intermediate Qualified System Name]]&amp;"--"&amp;Table4[[#This Row],[Collection Intermediate Qualified Name]]&amp;"--"&amp;Table4[[#This Row],[Dataset Intermediate Qualified Name]]</f>
        <v>telegraf--telegraf-metrics--iotmetricsbucket</v>
      </c>
      <c r="L33" t="s">
        <v>221</v>
      </c>
      <c r="M33" s="33" t="str">
        <f t="shared" si="10"/>
        <v>next-order-number</v>
      </c>
      <c r="N33" s="33" t="str">
        <f>Table4[[#This Row],[Intermediate Qualified System Name]]&amp;"--"&amp;Table4[[#This Row],[Collection Intermediate Qualified Name]]&amp;"--"&amp;Table4[[#This Row],[Dataset Intermediate Qualified Name]]&amp;"--"&amp;Table4[[#This Row],[Field Intermediate Qualified Name]]</f>
        <v>telegraf--telegraf-metrics--iotmetricsbucket--next-order-number</v>
      </c>
      <c r="O33"/>
      <c r="P33" t="s">
        <v>183</v>
      </c>
      <c r="Q33"/>
    </row>
    <row r="34" spans="2:17" x14ac:dyDescent="0.3">
      <c r="B34">
        <v>33</v>
      </c>
      <c r="C34" s="31" t="s">
        <v>208</v>
      </c>
      <c r="D34" t="s">
        <v>233</v>
      </c>
      <c r="E34" t="s">
        <v>249</v>
      </c>
      <c r="F34" s="33" t="str">
        <f t="shared" si="11"/>
        <v>influxdb</v>
      </c>
      <c r="G34" t="s">
        <v>251</v>
      </c>
      <c r="H34" s="33" t="str">
        <f t="shared" si="12"/>
        <v>influx-measurements</v>
      </c>
      <c r="I34" t="s">
        <v>250</v>
      </c>
      <c r="J34" s="33" t="str">
        <f t="shared" si="9"/>
        <v>production</v>
      </c>
      <c r="K34" s="33" t="str">
        <f>Table4[[#This Row],[Intermediate Qualified System Name]]&amp;"--"&amp;Table4[[#This Row],[Collection Intermediate Qualified Name]]&amp;"--"&amp;Table4[[#This Row],[Dataset Intermediate Qualified Name]]</f>
        <v>influxdb--influx-measurements--production</v>
      </c>
      <c r="L34" t="s">
        <v>208</v>
      </c>
      <c r="M34" s="33" t="str">
        <f t="shared" si="10"/>
        <v>product-counter</v>
      </c>
      <c r="N34" s="33" t="str">
        <f>Table4[[#This Row],[Intermediate Qualified System Name]]&amp;"--"&amp;Table4[[#This Row],[Collection Intermediate Qualified Name]]&amp;"--"&amp;Table4[[#This Row],[Dataset Intermediate Qualified Name]]&amp;"--"&amp;Table4[[#This Row],[Field Intermediate Qualified Name]]</f>
        <v>influxdb--influx-measurements--production--product-counter</v>
      </c>
      <c r="O34"/>
      <c r="P34" t="s">
        <v>184</v>
      </c>
      <c r="Q34"/>
    </row>
    <row r="35" spans="2:17" x14ac:dyDescent="0.3">
      <c r="B35">
        <v>34</v>
      </c>
      <c r="C35" s="31" t="s">
        <v>227</v>
      </c>
      <c r="D35" t="s">
        <v>234</v>
      </c>
      <c r="E35" t="s">
        <v>249</v>
      </c>
      <c r="F35" s="33" t="str">
        <f t="shared" si="11"/>
        <v>influxdb</v>
      </c>
      <c r="G35" t="s">
        <v>251</v>
      </c>
      <c r="H35" s="33" t="str">
        <f t="shared" si="12"/>
        <v>influx-measurements</v>
      </c>
      <c r="I35" t="s">
        <v>250</v>
      </c>
      <c r="J35" s="33" t="str">
        <f t="shared" si="9"/>
        <v>production</v>
      </c>
      <c r="K35" s="33" t="str">
        <f>Table4[[#This Row],[Intermediate Qualified System Name]]&amp;"--"&amp;Table4[[#This Row],[Collection Intermediate Qualified Name]]&amp;"--"&amp;Table4[[#This Row],[Dataset Intermediate Qualified Name]]</f>
        <v>influxdb--influx-measurements--production</v>
      </c>
      <c r="L35" t="s">
        <v>227</v>
      </c>
      <c r="M35" s="33" t="str">
        <f t="shared" si="10"/>
        <v>scrap-counter</v>
      </c>
      <c r="N35" s="33" t="str">
        <f>Table4[[#This Row],[Intermediate Qualified System Name]]&amp;"--"&amp;Table4[[#This Row],[Collection Intermediate Qualified Name]]&amp;"--"&amp;Table4[[#This Row],[Dataset Intermediate Qualified Name]]&amp;"--"&amp;Table4[[#This Row],[Field Intermediate Qualified Name]]</f>
        <v>influxdb--influx-measurements--production--scrap-counter</v>
      </c>
      <c r="O35"/>
      <c r="P35" s="31" t="s">
        <v>184</v>
      </c>
      <c r="Q35"/>
    </row>
    <row r="36" spans="2:17" x14ac:dyDescent="0.3">
      <c r="B36">
        <v>35</v>
      </c>
      <c r="C36" s="31" t="s">
        <v>177</v>
      </c>
      <c r="D36" t="s">
        <v>235</v>
      </c>
      <c r="E36" t="s">
        <v>249</v>
      </c>
      <c r="F36" s="33" t="str">
        <f t="shared" si="11"/>
        <v>influxdb</v>
      </c>
      <c r="G36" t="s">
        <v>251</v>
      </c>
      <c r="H36" s="33" t="str">
        <f t="shared" si="12"/>
        <v>influx-measurements</v>
      </c>
      <c r="I36" t="s">
        <v>250</v>
      </c>
      <c r="J36" s="33" t="str">
        <f t="shared" ref="J36:J44" si="13">SUBSTITUTE(SUBSTITUTE(SUBSTITUTE(SUBSTITUTE(LOWER(I36),"&amp;",""),"-",""),"  ","-")," ","-")</f>
        <v>production</v>
      </c>
      <c r="K36" s="33" t="str">
        <f>Table4[[#This Row],[Intermediate Qualified System Name]]&amp;"--"&amp;Table4[[#This Row],[Collection Intermediate Qualified Name]]&amp;"--"&amp;Table4[[#This Row],[Dataset Intermediate Qualified Name]]</f>
        <v>influxdb--influx-measurements--production</v>
      </c>
      <c r="L36" t="s">
        <v>177</v>
      </c>
      <c r="M36" s="33" t="str">
        <f>SUBSTITUTE(SUBSTITUTE(SUBSTITUTE(LOWER(L36),"&amp;",""),"  ","-")," ","-")</f>
        <v>state</v>
      </c>
      <c r="N36" s="33" t="str">
        <f>Table4[[#This Row],[Intermediate Qualified System Name]]&amp;"--"&amp;Table4[[#This Row],[Collection Intermediate Qualified Name]]&amp;"--"&amp;Table4[[#This Row],[Dataset Intermediate Qualified Name]]&amp;"--"&amp;Table4[[#This Row],[Field Intermediate Qualified Name]]</f>
        <v>influxdb--influx-measurements--production--state</v>
      </c>
      <c r="O36"/>
      <c r="P36" t="s">
        <v>183</v>
      </c>
      <c r="Q36"/>
    </row>
    <row r="37" spans="2:17" x14ac:dyDescent="0.3">
      <c r="B37">
        <v>36</v>
      </c>
      <c r="C37" s="31" t="s">
        <v>213</v>
      </c>
      <c r="D37" t="s">
        <v>236</v>
      </c>
      <c r="E37" t="s">
        <v>249</v>
      </c>
      <c r="F37" s="33" t="str">
        <f t="shared" si="11"/>
        <v>influxdb</v>
      </c>
      <c r="G37" t="s">
        <v>251</v>
      </c>
      <c r="H37" s="33" t="str">
        <f t="shared" si="12"/>
        <v>influx-measurements</v>
      </c>
      <c r="I37" t="s">
        <v>250</v>
      </c>
      <c r="J37" s="33" t="str">
        <f t="shared" si="13"/>
        <v>production</v>
      </c>
      <c r="K37" s="33" t="str">
        <f>Table4[[#This Row],[Intermediate Qualified System Name]]&amp;"--"&amp;Table4[[#This Row],[Collection Intermediate Qualified Name]]&amp;"--"&amp;Table4[[#This Row],[Dataset Intermediate Qualified Name]]</f>
        <v>influxdb--influx-measurements--production</v>
      </c>
      <c r="L37" t="s">
        <v>213</v>
      </c>
      <c r="M37" s="33" t="str">
        <f>SUBSTITUTE(SUBSTITUTE(SUBSTITUTE(LOWER(L37),"&amp;",""),"  ","-")," ","-")</f>
        <v>air-pressure</v>
      </c>
      <c r="N37" s="33" t="str">
        <f>Table4[[#This Row],[Intermediate Qualified System Name]]&amp;"--"&amp;Table4[[#This Row],[Collection Intermediate Qualified Name]]&amp;"--"&amp;Table4[[#This Row],[Dataset Intermediate Qualified Name]]&amp;"--"&amp;Table4[[#This Row],[Field Intermediate Qualified Name]]</f>
        <v>influxdb--influx-measurements--production--air-pressure</v>
      </c>
      <c r="O37"/>
      <c r="P37" t="s">
        <v>268</v>
      </c>
      <c r="Q37"/>
    </row>
    <row r="38" spans="2:17" x14ac:dyDescent="0.3">
      <c r="B38">
        <v>37</v>
      </c>
      <c r="C38" s="31" t="s">
        <v>214</v>
      </c>
      <c r="D38" t="s">
        <v>237</v>
      </c>
      <c r="E38" t="s">
        <v>249</v>
      </c>
      <c r="F38" s="33" t="str">
        <f t="shared" si="11"/>
        <v>influxdb</v>
      </c>
      <c r="G38" t="s">
        <v>251</v>
      </c>
      <c r="H38" s="33" t="str">
        <f t="shared" si="12"/>
        <v>influx-measurements</v>
      </c>
      <c r="I38" t="s">
        <v>250</v>
      </c>
      <c r="J38" s="33" t="str">
        <f t="shared" si="13"/>
        <v>production</v>
      </c>
      <c r="K38" s="33" t="str">
        <f>Table4[[#This Row],[Intermediate Qualified System Name]]&amp;"--"&amp;Table4[[#This Row],[Collection Intermediate Qualified Name]]&amp;"--"&amp;Table4[[#This Row],[Dataset Intermediate Qualified Name]]</f>
        <v>influxdb--influx-measurements--production</v>
      </c>
      <c r="L38" t="s">
        <v>214</v>
      </c>
      <c r="M38" s="33" t="str">
        <f>SUBSTITUTE(SUBSTITUTE(SUBSTITUTE(LOWER(L38),"&amp;",""),"  ","-")," ","-")</f>
        <v>motor-temperature</v>
      </c>
      <c r="N38" s="33" t="str">
        <f>Table4[[#This Row],[Intermediate Qualified System Name]]&amp;"--"&amp;Table4[[#This Row],[Collection Intermediate Qualified Name]]&amp;"--"&amp;Table4[[#This Row],[Dataset Intermediate Qualified Name]]&amp;"--"&amp;Table4[[#This Row],[Field Intermediate Qualified Name]]</f>
        <v>influxdb--influx-measurements--production--motor-temperature</v>
      </c>
      <c r="O38"/>
      <c r="P38" t="s">
        <v>268</v>
      </c>
      <c r="Q38"/>
    </row>
    <row r="39" spans="2:17" x14ac:dyDescent="0.3">
      <c r="B39">
        <v>38</v>
      </c>
      <c r="C39" s="31" t="s">
        <v>215</v>
      </c>
      <c r="D39" t="s">
        <v>238</v>
      </c>
      <c r="E39" t="s">
        <v>249</v>
      </c>
      <c r="F39" s="33" t="str">
        <f t="shared" si="11"/>
        <v>influxdb</v>
      </c>
      <c r="G39" t="s">
        <v>251</v>
      </c>
      <c r="H39" s="33" t="str">
        <f t="shared" si="12"/>
        <v>influx-measurements</v>
      </c>
      <c r="I39" t="s">
        <v>250</v>
      </c>
      <c r="J39" s="33" t="str">
        <f t="shared" si="13"/>
        <v>production</v>
      </c>
      <c r="K39" s="33" t="str">
        <f>Table4[[#This Row],[Intermediate Qualified System Name]]&amp;"--"&amp;Table4[[#This Row],[Collection Intermediate Qualified Name]]&amp;"--"&amp;Table4[[#This Row],[Dataset Intermediate Qualified Name]]</f>
        <v>influxdb--influx-measurements--production</v>
      </c>
      <c r="L39" t="s">
        <v>215</v>
      </c>
      <c r="M39" s="33" t="str">
        <f>SUBSTITUTE(SUBSTITUTE(SUBSTITUTE(LOWER(L39),"&amp;",""),"  ","-")," ","-")</f>
        <v>total-power</v>
      </c>
      <c r="N39" s="33" t="str">
        <f>Table4[[#This Row],[Intermediate Qualified System Name]]&amp;"--"&amp;Table4[[#This Row],[Collection Intermediate Qualified Name]]&amp;"--"&amp;Table4[[#This Row],[Dataset Intermediate Qualified Name]]&amp;"--"&amp;Table4[[#This Row],[Field Intermediate Qualified Name]]</f>
        <v>influxdb--influx-measurements--production--total-power</v>
      </c>
      <c r="O39"/>
      <c r="P39" t="s">
        <v>268</v>
      </c>
      <c r="Q39"/>
    </row>
    <row r="40" spans="2:17" x14ac:dyDescent="0.3">
      <c r="B40">
        <v>39</v>
      </c>
      <c r="C40" s="31" t="s">
        <v>222</v>
      </c>
      <c r="D40" t="s">
        <v>239</v>
      </c>
      <c r="E40" t="s">
        <v>249</v>
      </c>
      <c r="F40" s="33" t="str">
        <f t="shared" si="11"/>
        <v>influxdb</v>
      </c>
      <c r="G40" t="s">
        <v>251</v>
      </c>
      <c r="H40" s="33" t="str">
        <f t="shared" si="12"/>
        <v>influx-measurements</v>
      </c>
      <c r="I40" t="s">
        <v>250</v>
      </c>
      <c r="J40" s="33" t="str">
        <f t="shared" si="13"/>
        <v>production</v>
      </c>
      <c r="K40" s="33" t="str">
        <f>Table4[[#This Row],[Intermediate Qualified System Name]]&amp;"--"&amp;Table4[[#This Row],[Collection Intermediate Qualified Name]]&amp;"--"&amp;Table4[[#This Row],[Dataset Intermediate Qualified Name]]</f>
        <v>influxdb--influx-measurements--production</v>
      </c>
      <c r="L40" t="s">
        <v>222</v>
      </c>
      <c r="M40" s="33" t="str">
        <f>SUBSTITUTE(SUBSTITUTE(SUBSTITUTE(LOWER(L40),"&amp;",""),"  ","-")," ","-")</f>
        <v>current-order</v>
      </c>
      <c r="N40" s="33" t="str">
        <f>Table4[[#This Row],[Intermediate Qualified System Name]]&amp;"--"&amp;Table4[[#This Row],[Collection Intermediate Qualified Name]]&amp;"--"&amp;Table4[[#This Row],[Dataset Intermediate Qualified Name]]&amp;"--"&amp;Table4[[#This Row],[Field Intermediate Qualified Name]]</f>
        <v>influxdb--influx-measurements--production--current-order</v>
      </c>
      <c r="O40"/>
      <c r="P40" t="s">
        <v>183</v>
      </c>
      <c r="Q40"/>
    </row>
    <row r="41" spans="2:17" x14ac:dyDescent="0.3">
      <c r="B41">
        <v>40</v>
      </c>
      <c r="C41" s="31" t="s">
        <v>221</v>
      </c>
      <c r="D41" t="s">
        <v>240</v>
      </c>
      <c r="E41" t="s">
        <v>249</v>
      </c>
      <c r="F41" s="33" t="str">
        <f t="shared" si="11"/>
        <v>influxdb</v>
      </c>
      <c r="G41" t="s">
        <v>251</v>
      </c>
      <c r="H41" s="33" t="str">
        <f t="shared" si="12"/>
        <v>influx-measurements</v>
      </c>
      <c r="I41" t="s">
        <v>250</v>
      </c>
      <c r="J41" s="33" t="str">
        <f t="shared" si="13"/>
        <v>production</v>
      </c>
      <c r="K41" s="33" t="str">
        <f>Table4[[#This Row],[Intermediate Qualified System Name]]&amp;"--"&amp;Table4[[#This Row],[Collection Intermediate Qualified Name]]&amp;"--"&amp;Table4[[#This Row],[Dataset Intermediate Qualified Name]]</f>
        <v>influxdb--influx-measurements--production</v>
      </c>
      <c r="L41" t="s">
        <v>221</v>
      </c>
      <c r="M41" s="33" t="str">
        <f t="shared" ref="M41:M45" si="14">SUBSTITUTE(SUBSTITUTE(SUBSTITUTE(LOWER(L41),"&amp;",""),"  ","-")," ","-")</f>
        <v>next-order-number</v>
      </c>
      <c r="N41" s="33" t="str">
        <f>Table4[[#This Row],[Intermediate Qualified System Name]]&amp;"--"&amp;Table4[[#This Row],[Collection Intermediate Qualified Name]]&amp;"--"&amp;Table4[[#This Row],[Dataset Intermediate Qualified Name]]&amp;"--"&amp;Table4[[#This Row],[Field Intermediate Qualified Name]]</f>
        <v>influxdb--influx-measurements--production--next-order-number</v>
      </c>
      <c r="O41"/>
      <c r="P41" t="s">
        <v>183</v>
      </c>
      <c r="Q41"/>
    </row>
    <row r="42" spans="2:17" x14ac:dyDescent="0.3">
      <c r="B42">
        <v>41</v>
      </c>
      <c r="C42" s="31" t="s">
        <v>209</v>
      </c>
      <c r="D42" t="s">
        <v>259</v>
      </c>
      <c r="E42" t="s">
        <v>257</v>
      </c>
      <c r="F42" s="33" t="str">
        <f t="shared" si="11"/>
        <v>grafana</v>
      </c>
      <c r="G42" t="s">
        <v>258</v>
      </c>
      <c r="H42" s="33" t="str">
        <f t="shared" si="12"/>
        <v>grafana-dashboards</v>
      </c>
      <c r="I42" t="s">
        <v>270</v>
      </c>
      <c r="J42" s="33" t="str">
        <f t="shared" si="13"/>
        <v>production-kpi</v>
      </c>
      <c r="K42" s="33" t="str">
        <f>Table4[[#This Row],[Intermediate Qualified System Name]]&amp;"--"&amp;Table4[[#This Row],[Collection Intermediate Qualified Name]]&amp;"--"&amp;Table4[[#This Row],[Dataset Intermediate Qualified Name]]</f>
        <v>grafana--grafana-dashboards--production-kpi</v>
      </c>
      <c r="L42" t="s">
        <v>209</v>
      </c>
      <c r="M42" s="33" t="str">
        <f t="shared" si="14"/>
        <v>yield</v>
      </c>
      <c r="N42" s="33" t="str">
        <f>Table4[[#This Row],[Intermediate Qualified System Name]]&amp;"--"&amp;Table4[[#This Row],[Collection Intermediate Qualified Name]]&amp;"--"&amp;Table4[[#This Row],[Dataset Intermediate Qualified Name]]&amp;"--"&amp;Table4[[#This Row],[Field Intermediate Qualified Name]]</f>
        <v>grafana--grafana-dashboards--production-kpi--yield</v>
      </c>
      <c r="O42"/>
      <c r="P42" t="s">
        <v>268</v>
      </c>
      <c r="Q42"/>
    </row>
    <row r="43" spans="2:17" x14ac:dyDescent="0.3">
      <c r="B43">
        <v>42</v>
      </c>
      <c r="C43" s="31" t="s">
        <v>211</v>
      </c>
      <c r="D43" t="s">
        <v>261</v>
      </c>
      <c r="E43" t="s">
        <v>257</v>
      </c>
      <c r="F43" s="33" t="str">
        <f t="shared" si="11"/>
        <v>grafana</v>
      </c>
      <c r="G43" t="s">
        <v>258</v>
      </c>
      <c r="H43" s="33" t="str">
        <f t="shared" si="12"/>
        <v>grafana-dashboards</v>
      </c>
      <c r="I43" t="s">
        <v>270</v>
      </c>
      <c r="J43" s="33" t="str">
        <f t="shared" si="13"/>
        <v>production-kpi</v>
      </c>
      <c r="K43" s="33" t="str">
        <f>Table4[[#This Row],[Intermediate Qualified System Name]]&amp;"--"&amp;Table4[[#This Row],[Collection Intermediate Qualified Name]]&amp;"--"&amp;Table4[[#This Row],[Dataset Intermediate Qualified Name]]</f>
        <v>grafana--grafana-dashboards--production-kpi</v>
      </c>
      <c r="L43" t="s">
        <v>211</v>
      </c>
      <c r="M43" s="33" t="str">
        <f t="shared" si="14"/>
        <v>inventory-level</v>
      </c>
      <c r="N43" s="33" t="str">
        <f>Table4[[#This Row],[Intermediate Qualified System Name]]&amp;"--"&amp;Table4[[#This Row],[Collection Intermediate Qualified Name]]&amp;"--"&amp;Table4[[#This Row],[Dataset Intermediate Qualified Name]]&amp;"--"&amp;Table4[[#This Row],[Field Intermediate Qualified Name]]</f>
        <v>grafana--grafana-dashboards--production-kpi--inventory-level</v>
      </c>
      <c r="O43"/>
      <c r="P43" t="s">
        <v>184</v>
      </c>
      <c r="Q43"/>
    </row>
    <row r="44" spans="2:17" x14ac:dyDescent="0.3">
      <c r="B44">
        <v>43</v>
      </c>
      <c r="C44" s="31" t="s">
        <v>217</v>
      </c>
      <c r="D44" t="s">
        <v>260</v>
      </c>
      <c r="E44" t="s">
        <v>257</v>
      </c>
      <c r="F44" s="33" t="str">
        <f t="shared" si="11"/>
        <v>grafana</v>
      </c>
      <c r="G44" t="s">
        <v>258</v>
      </c>
      <c r="H44" s="33" t="str">
        <f t="shared" si="12"/>
        <v>grafana-dashboards</v>
      </c>
      <c r="I44" t="s">
        <v>270</v>
      </c>
      <c r="J44" s="33" t="str">
        <f t="shared" si="13"/>
        <v>production-kpi</v>
      </c>
      <c r="K44" s="33" t="str">
        <f>Table4[[#This Row],[Intermediate Qualified System Name]]&amp;"--"&amp;Table4[[#This Row],[Collection Intermediate Qualified Name]]&amp;"--"&amp;Table4[[#This Row],[Dataset Intermediate Qualified Name]]</f>
        <v>grafana--grafana-dashboards--production-kpi</v>
      </c>
      <c r="L44" t="s">
        <v>217</v>
      </c>
      <c r="M44" s="33" t="str">
        <f t="shared" si="14"/>
        <v>order-fulfillment</v>
      </c>
      <c r="N44" s="33" t="str">
        <f>Table4[[#This Row],[Intermediate Qualified System Name]]&amp;"--"&amp;Table4[[#This Row],[Collection Intermediate Qualified Name]]&amp;"--"&amp;Table4[[#This Row],[Dataset Intermediate Qualified Name]]&amp;"--"&amp;Table4[[#This Row],[Field Intermediate Qualified Name]]</f>
        <v>grafana--grafana-dashboards--production-kpi--order-fulfillment</v>
      </c>
      <c r="O44"/>
      <c r="P44" t="s">
        <v>268</v>
      </c>
      <c r="Q44"/>
    </row>
    <row r="45" spans="2:17" x14ac:dyDescent="0.3">
      <c r="B45">
        <v>44</v>
      </c>
      <c r="C45" s="31" t="s">
        <v>216</v>
      </c>
      <c r="D45" t="s">
        <v>262</v>
      </c>
      <c r="E45" t="s">
        <v>257</v>
      </c>
      <c r="F45" s="33" t="str">
        <f t="shared" si="6"/>
        <v>grafana</v>
      </c>
      <c r="G45" t="s">
        <v>258</v>
      </c>
      <c r="H45" s="33" t="str">
        <f t="shared" si="5"/>
        <v>grafana-dashboards</v>
      </c>
      <c r="I45" t="s">
        <v>270</v>
      </c>
      <c r="J45" s="33" t="str">
        <f t="shared" ref="J45" si="15">SUBSTITUTE(SUBSTITUTE(SUBSTITUTE(SUBSTITUTE(LOWER(I45),"&amp;",""),"-",""),"  ","-")," ","-")</f>
        <v>production-kpi</v>
      </c>
      <c r="K45" s="33" t="str">
        <f>Table4[[#This Row],[Intermediate Qualified System Name]]&amp;"--"&amp;Table4[[#This Row],[Collection Intermediate Qualified Name]]&amp;"--"&amp;Table4[[#This Row],[Dataset Intermediate Qualified Name]]</f>
        <v>grafana--grafana-dashboards--production-kpi</v>
      </c>
      <c r="L45" t="s">
        <v>216</v>
      </c>
      <c r="M45" s="33" t="str">
        <f t="shared" si="14"/>
        <v>fulfilled-orders-today</v>
      </c>
      <c r="N45" s="33" t="str">
        <f>Table4[[#This Row],[Intermediate Qualified System Name]]&amp;"--"&amp;Table4[[#This Row],[Collection Intermediate Qualified Name]]&amp;"--"&amp;Table4[[#This Row],[Dataset Intermediate Qualified Name]]&amp;"--"&amp;Table4[[#This Row],[Field Intermediate Qualified Name]]</f>
        <v>grafana--grafana-dashboards--production-kpi--fulfilled-orders-today</v>
      </c>
      <c r="O45"/>
      <c r="P45" t="s">
        <v>184</v>
      </c>
      <c r="Q45"/>
    </row>
    <row r="46" spans="2:17" x14ac:dyDescent="0.3">
      <c r="B46">
        <v>45</v>
      </c>
      <c r="C46" s="31" t="s">
        <v>212</v>
      </c>
      <c r="D46" t="s">
        <v>263</v>
      </c>
      <c r="E46" t="s">
        <v>257</v>
      </c>
      <c r="F46" s="33" t="str">
        <f t="shared" ref="F46:F54" si="16">SUBSTITUTE(SUBSTITUTE(SUBSTITUTE(SUBSTITUTE(LOWER(E46),"&amp;",""),"-",""),"  ","-")," ","-")</f>
        <v>grafana</v>
      </c>
      <c r="G46" t="s">
        <v>258</v>
      </c>
      <c r="H46" s="33" t="str">
        <f t="shared" ref="H46:H54" si="17">SUBSTITUTE(SUBSTITUTE(SUBSTITUTE(SUBSTITUTE(LOWER(G46),"&amp;",""),"-",""),"  ","-")," ","-")</f>
        <v>grafana-dashboards</v>
      </c>
      <c r="I46" t="s">
        <v>270</v>
      </c>
      <c r="J46" s="33" t="str">
        <f t="shared" ref="J46:J54" si="18">SUBSTITUTE(SUBSTITUTE(SUBSTITUTE(SUBSTITUTE(LOWER(I46),"&amp;",""),"-",""),"  ","-")," ","-")</f>
        <v>production-kpi</v>
      </c>
      <c r="K46" s="33" t="str">
        <f>Table4[[#This Row],[Intermediate Qualified System Name]]&amp;"--"&amp;Table4[[#This Row],[Collection Intermediate Qualified Name]]&amp;"--"&amp;Table4[[#This Row],[Dataset Intermediate Qualified Name]]</f>
        <v>grafana--grafana-dashboards--production-kpi</v>
      </c>
      <c r="L46" t="s">
        <v>212</v>
      </c>
      <c r="M46" s="33" t="str">
        <f t="shared" ref="M46:M54" si="19">SUBSTITUTE(SUBSTITUTE(SUBSTITUTE(LOWER(L46),"&amp;",""),"  ","-")," ","-")</f>
        <v>planned-orders-today</v>
      </c>
      <c r="N46" s="33" t="str">
        <f>Table4[[#This Row],[Intermediate Qualified System Name]]&amp;"--"&amp;Table4[[#This Row],[Collection Intermediate Qualified Name]]&amp;"--"&amp;Table4[[#This Row],[Dataset Intermediate Qualified Name]]&amp;"--"&amp;Table4[[#This Row],[Field Intermediate Qualified Name]]</f>
        <v>grafana--grafana-dashboards--production-kpi--planned-orders-today</v>
      </c>
      <c r="P46" t="s">
        <v>184</v>
      </c>
    </row>
    <row r="47" spans="2:17" x14ac:dyDescent="0.3">
      <c r="B47">
        <v>46</v>
      </c>
      <c r="C47" s="31" t="s">
        <v>210</v>
      </c>
      <c r="D47" t="s">
        <v>264</v>
      </c>
      <c r="E47" t="s">
        <v>257</v>
      </c>
      <c r="F47" s="33" t="str">
        <f t="shared" si="16"/>
        <v>grafana</v>
      </c>
      <c r="G47" t="s">
        <v>258</v>
      </c>
      <c r="H47" s="33" t="str">
        <f t="shared" si="17"/>
        <v>grafana-dashboards</v>
      </c>
      <c r="I47" t="s">
        <v>270</v>
      </c>
      <c r="J47" s="33" t="str">
        <f t="shared" si="18"/>
        <v>production-kpi</v>
      </c>
      <c r="K47" s="33" t="str">
        <f>Table4[[#This Row],[Intermediate Qualified System Name]]&amp;"--"&amp;Table4[[#This Row],[Collection Intermediate Qualified Name]]&amp;"--"&amp;Table4[[#This Row],[Dataset Intermediate Qualified Name]]</f>
        <v>grafana--grafana-dashboards--production-kpi</v>
      </c>
      <c r="L47" t="s">
        <v>210</v>
      </c>
      <c r="M47" s="33" t="str">
        <f t="shared" si="19"/>
        <v>throughput</v>
      </c>
      <c r="N47" s="33" t="str">
        <f>Table4[[#This Row],[Intermediate Qualified System Name]]&amp;"--"&amp;Table4[[#This Row],[Collection Intermediate Qualified Name]]&amp;"--"&amp;Table4[[#This Row],[Dataset Intermediate Qualified Name]]&amp;"--"&amp;Table4[[#This Row],[Field Intermediate Qualified Name]]</f>
        <v>grafana--grafana-dashboards--production-kpi--throughput</v>
      </c>
      <c r="P47" t="s">
        <v>268</v>
      </c>
    </row>
    <row r="48" spans="2:17" x14ac:dyDescent="0.3">
      <c r="B48">
        <v>47</v>
      </c>
      <c r="C48" s="31" t="s">
        <v>223</v>
      </c>
      <c r="D48" t="s">
        <v>324</v>
      </c>
      <c r="E48" t="s">
        <v>257</v>
      </c>
      <c r="F48" s="33" t="str">
        <f t="shared" si="16"/>
        <v>grafana</v>
      </c>
      <c r="G48" t="s">
        <v>258</v>
      </c>
      <c r="H48" s="33" t="str">
        <f t="shared" si="17"/>
        <v>grafana-dashboards</v>
      </c>
      <c r="I48" t="s">
        <v>270</v>
      </c>
      <c r="J48" s="33" t="str">
        <f t="shared" si="18"/>
        <v>production-kpi</v>
      </c>
      <c r="K48" s="33" t="str">
        <f>Table4[[#This Row],[Intermediate Qualified System Name]]&amp;"--"&amp;Table4[[#This Row],[Collection Intermediate Qualified Name]]&amp;"--"&amp;Table4[[#This Row],[Dataset Intermediate Qualified Name]]</f>
        <v>grafana--grafana-dashboards--production-kpi</v>
      </c>
      <c r="L48" t="s">
        <v>223</v>
      </c>
      <c r="M48" s="33" t="str">
        <f t="shared" si="19"/>
        <v>order-id</v>
      </c>
      <c r="N48" s="33" t="str">
        <f>Table4[[#This Row],[Intermediate Qualified System Name]]&amp;"--"&amp;Table4[[#This Row],[Collection Intermediate Qualified Name]]&amp;"--"&amp;Table4[[#This Row],[Dataset Intermediate Qualified Name]]&amp;"--"&amp;Table4[[#This Row],[Field Intermediate Qualified Name]]</f>
        <v>grafana--grafana-dashboards--production-kpi--order-id</v>
      </c>
      <c r="P48" t="s">
        <v>184</v>
      </c>
    </row>
    <row r="49" spans="2:16" x14ac:dyDescent="0.3">
      <c r="B49">
        <v>48</v>
      </c>
      <c r="C49" s="31" t="s">
        <v>218</v>
      </c>
      <c r="D49" t="s">
        <v>265</v>
      </c>
      <c r="E49" t="s">
        <v>257</v>
      </c>
      <c r="F49" s="33" t="str">
        <f t="shared" si="16"/>
        <v>grafana</v>
      </c>
      <c r="G49" t="s">
        <v>258</v>
      </c>
      <c r="H49" s="33" t="str">
        <f t="shared" si="17"/>
        <v>grafana-dashboards</v>
      </c>
      <c r="I49" t="s">
        <v>270</v>
      </c>
      <c r="J49" s="33" t="str">
        <f t="shared" si="18"/>
        <v>production-kpi</v>
      </c>
      <c r="K49" s="33" t="str">
        <f>Table4[[#This Row],[Intermediate Qualified System Name]]&amp;"--"&amp;Table4[[#This Row],[Collection Intermediate Qualified Name]]&amp;"--"&amp;Table4[[#This Row],[Dataset Intermediate Qualified Name]]</f>
        <v>grafana--grafana-dashboards--production-kpi</v>
      </c>
      <c r="L49" t="s">
        <v>218</v>
      </c>
      <c r="M49" s="33" t="str">
        <f t="shared" si="19"/>
        <v>fulfilled-quantity</v>
      </c>
      <c r="N49" s="33" t="str">
        <f>Table4[[#This Row],[Intermediate Qualified System Name]]&amp;"--"&amp;Table4[[#This Row],[Collection Intermediate Qualified Name]]&amp;"--"&amp;Table4[[#This Row],[Dataset Intermediate Qualified Name]]&amp;"--"&amp;Table4[[#This Row],[Field Intermediate Qualified Name]]</f>
        <v>grafana--grafana-dashboards--production-kpi--fulfilled-quantity</v>
      </c>
      <c r="P49" t="s">
        <v>184</v>
      </c>
    </row>
    <row r="50" spans="2:16" x14ac:dyDescent="0.3">
      <c r="B50">
        <v>49</v>
      </c>
      <c r="C50" s="31" t="s">
        <v>224</v>
      </c>
      <c r="D50" t="s">
        <v>325</v>
      </c>
      <c r="E50" t="s">
        <v>257</v>
      </c>
      <c r="F50" s="33" t="str">
        <f t="shared" si="16"/>
        <v>grafana</v>
      </c>
      <c r="G50" t="s">
        <v>258</v>
      </c>
      <c r="H50" s="33" t="str">
        <f t="shared" si="17"/>
        <v>grafana-dashboards</v>
      </c>
      <c r="I50" t="s">
        <v>270</v>
      </c>
      <c r="J50" s="33" t="str">
        <f t="shared" si="18"/>
        <v>production-kpi</v>
      </c>
      <c r="K50" s="33" t="str">
        <f>Table4[[#This Row],[Intermediate Qualified System Name]]&amp;"--"&amp;Table4[[#This Row],[Collection Intermediate Qualified Name]]&amp;"--"&amp;Table4[[#This Row],[Dataset Intermediate Qualified Name]]</f>
        <v>grafana--grafana-dashboards--production-kpi</v>
      </c>
      <c r="L50" t="s">
        <v>224</v>
      </c>
      <c r="M50" s="33" t="str">
        <f t="shared" si="19"/>
        <v>ordered-quantity</v>
      </c>
      <c r="N50" s="33" t="str">
        <f>Table4[[#This Row],[Intermediate Qualified System Name]]&amp;"--"&amp;Table4[[#This Row],[Collection Intermediate Qualified Name]]&amp;"--"&amp;Table4[[#This Row],[Dataset Intermediate Qualified Name]]&amp;"--"&amp;Table4[[#This Row],[Field Intermediate Qualified Name]]</f>
        <v>grafana--grafana-dashboards--production-kpi--ordered-quantity</v>
      </c>
      <c r="P50" t="s">
        <v>184</v>
      </c>
    </row>
    <row r="51" spans="2:16" x14ac:dyDescent="0.3">
      <c r="B51">
        <v>50</v>
      </c>
      <c r="C51" s="31" t="s">
        <v>219</v>
      </c>
      <c r="D51" t="s">
        <v>266</v>
      </c>
      <c r="E51" t="s">
        <v>257</v>
      </c>
      <c r="F51" s="33" t="str">
        <f t="shared" si="16"/>
        <v>grafana</v>
      </c>
      <c r="G51" t="s">
        <v>258</v>
      </c>
      <c r="H51" s="33" t="str">
        <f t="shared" si="17"/>
        <v>grafana-dashboards</v>
      </c>
      <c r="I51" t="s">
        <v>270</v>
      </c>
      <c r="J51" s="33" t="str">
        <f t="shared" si="18"/>
        <v>production-kpi</v>
      </c>
      <c r="K51" s="33" t="str">
        <f>Table4[[#This Row],[Intermediate Qualified System Name]]&amp;"--"&amp;Table4[[#This Row],[Collection Intermediate Qualified Name]]&amp;"--"&amp;Table4[[#This Row],[Dataset Intermediate Qualified Name]]</f>
        <v>grafana--grafana-dashboards--production-kpi</v>
      </c>
      <c r="L51" t="s">
        <v>219</v>
      </c>
      <c r="M51" s="33" t="str">
        <f t="shared" si="19"/>
        <v>current-fulfillment</v>
      </c>
      <c r="N51" s="33" t="str">
        <f>Table4[[#This Row],[Intermediate Qualified System Name]]&amp;"--"&amp;Table4[[#This Row],[Collection Intermediate Qualified Name]]&amp;"--"&amp;Table4[[#This Row],[Dataset Intermediate Qualified Name]]&amp;"--"&amp;Table4[[#This Row],[Field Intermediate Qualified Name]]</f>
        <v>grafana--grafana-dashboards--production-kpi--current-fulfillment</v>
      </c>
      <c r="P51" t="s">
        <v>184</v>
      </c>
    </row>
    <row r="52" spans="2:16" x14ac:dyDescent="0.3">
      <c r="B52">
        <v>51</v>
      </c>
      <c r="C52" s="31" t="s">
        <v>220</v>
      </c>
      <c r="D52" t="s">
        <v>267</v>
      </c>
      <c r="E52" t="s">
        <v>257</v>
      </c>
      <c r="F52" s="33" t="str">
        <f t="shared" si="16"/>
        <v>grafana</v>
      </c>
      <c r="G52" t="s">
        <v>258</v>
      </c>
      <c r="H52" s="33" t="str">
        <f t="shared" si="17"/>
        <v>grafana-dashboards</v>
      </c>
      <c r="I52" t="s">
        <v>270</v>
      </c>
      <c r="J52" s="33" t="str">
        <f t="shared" si="18"/>
        <v>production-kpi</v>
      </c>
      <c r="K52" s="33" t="str">
        <f>Table4[[#This Row],[Intermediate Qualified System Name]]&amp;"--"&amp;Table4[[#This Row],[Collection Intermediate Qualified Name]]&amp;"--"&amp;Table4[[#This Row],[Dataset Intermediate Qualified Name]]</f>
        <v>grafana--grafana-dashboards--production-kpi</v>
      </c>
      <c r="L52" t="s">
        <v>220</v>
      </c>
      <c r="M52" s="33" t="str">
        <f t="shared" si="19"/>
        <v>estimated-time-of-completion</v>
      </c>
      <c r="N52" s="33" t="str">
        <f>Table4[[#This Row],[Intermediate Qualified System Name]]&amp;"--"&amp;Table4[[#This Row],[Collection Intermediate Qualified Name]]&amp;"--"&amp;Table4[[#This Row],[Dataset Intermediate Qualified Name]]&amp;"--"&amp;Table4[[#This Row],[Field Intermediate Qualified Name]]</f>
        <v>grafana--grafana-dashboards--production-kpi--estimated-time-of-completion</v>
      </c>
      <c r="P52" t="s">
        <v>183</v>
      </c>
    </row>
    <row r="53" spans="2:16" x14ac:dyDescent="0.3">
      <c r="B53">
        <v>52</v>
      </c>
      <c r="C53" s="31" t="s">
        <v>225</v>
      </c>
      <c r="D53" t="s">
        <v>326</v>
      </c>
      <c r="E53" t="s">
        <v>257</v>
      </c>
      <c r="F53" s="33" t="str">
        <f t="shared" si="16"/>
        <v>grafana</v>
      </c>
      <c r="G53" t="s">
        <v>258</v>
      </c>
      <c r="H53" s="33" t="str">
        <f t="shared" si="17"/>
        <v>grafana-dashboards</v>
      </c>
      <c r="I53" t="s">
        <v>270</v>
      </c>
      <c r="J53" s="33" t="str">
        <f t="shared" si="18"/>
        <v>production-kpi</v>
      </c>
      <c r="K53" s="33" t="str">
        <f>Table4[[#This Row],[Intermediate Qualified System Name]]&amp;"--"&amp;Table4[[#This Row],[Collection Intermediate Qualified Name]]&amp;"--"&amp;Table4[[#This Row],[Dataset Intermediate Qualified Name]]</f>
        <v>grafana--grafana-dashboards--production-kpi</v>
      </c>
      <c r="L53" t="s">
        <v>225</v>
      </c>
      <c r="M53" s="33" t="str">
        <f t="shared" si="19"/>
        <v>shipment-slot</v>
      </c>
      <c r="N53" s="33" t="str">
        <f>Table4[[#This Row],[Intermediate Qualified System Name]]&amp;"--"&amp;Table4[[#This Row],[Collection Intermediate Qualified Name]]&amp;"--"&amp;Table4[[#This Row],[Dataset Intermediate Qualified Name]]&amp;"--"&amp;Table4[[#This Row],[Field Intermediate Qualified Name]]</f>
        <v>grafana--grafana-dashboards--production-kpi--shipment-slot</v>
      </c>
      <c r="P53" t="s">
        <v>178</v>
      </c>
    </row>
    <row r="54" spans="2:16" x14ac:dyDescent="0.3">
      <c r="B54">
        <v>53</v>
      </c>
      <c r="C54" s="31" t="s">
        <v>334</v>
      </c>
      <c r="D54" t="s">
        <v>327</v>
      </c>
      <c r="E54" t="s">
        <v>257</v>
      </c>
      <c r="F54" s="33" t="str">
        <f t="shared" si="16"/>
        <v>grafana</v>
      </c>
      <c r="G54" t="s">
        <v>258</v>
      </c>
      <c r="H54" s="33" t="str">
        <f t="shared" si="17"/>
        <v>grafana-dashboards</v>
      </c>
      <c r="I54" t="s">
        <v>270</v>
      </c>
      <c r="J54" s="33" t="str">
        <f t="shared" si="18"/>
        <v>production-kpi</v>
      </c>
      <c r="K54" s="33" t="str">
        <f>Table4[[#This Row],[Intermediate Qualified System Name]]&amp;"--"&amp;Table4[[#This Row],[Collection Intermediate Qualified Name]]&amp;"--"&amp;Table4[[#This Row],[Dataset Intermediate Qualified Name]]</f>
        <v>grafana--grafana-dashboards--production-kpi</v>
      </c>
      <c r="L54" t="s">
        <v>226</v>
      </c>
      <c r="M54" s="33" t="str">
        <f t="shared" si="19"/>
        <v>customer-deadline</v>
      </c>
      <c r="N54" s="33" t="str">
        <f>Table4[[#This Row],[Intermediate Qualified System Name]]&amp;"--"&amp;Table4[[#This Row],[Collection Intermediate Qualified Name]]&amp;"--"&amp;Table4[[#This Row],[Dataset Intermediate Qualified Name]]&amp;"--"&amp;Table4[[#This Row],[Field Intermediate Qualified Name]]</f>
        <v>grafana--grafana-dashboards--production-kpi--customer-deadline</v>
      </c>
      <c r="P54" t="s">
        <v>178</v>
      </c>
    </row>
    <row r="55" spans="2:16" x14ac:dyDescent="0.3">
      <c r="B55"/>
      <c r="D55"/>
      <c r="E55"/>
      <c r="G55"/>
      <c r="I55"/>
      <c r="L55"/>
      <c r="M55" s="33"/>
      <c r="N55" s="33"/>
      <c r="P55"/>
    </row>
    <row r="56" spans="2:16" x14ac:dyDescent="0.3">
      <c r="B56"/>
      <c r="D56"/>
      <c r="E56"/>
      <c r="G56"/>
      <c r="I56"/>
      <c r="L56"/>
      <c r="M56" s="33"/>
      <c r="N56" s="33"/>
      <c r="P56"/>
    </row>
    <row r="57" spans="2:16" x14ac:dyDescent="0.3">
      <c r="B57"/>
      <c r="E57"/>
      <c r="G57"/>
      <c r="I57"/>
      <c r="M57" s="33"/>
      <c r="N57" s="33"/>
    </row>
    <row r="58" spans="2:16" x14ac:dyDescent="0.3">
      <c r="B58"/>
      <c r="E58"/>
      <c r="G58"/>
      <c r="I58"/>
      <c r="M58" s="33"/>
      <c r="N58" s="33"/>
    </row>
    <row r="59" spans="2:16" x14ac:dyDescent="0.3">
      <c r="B59"/>
      <c r="E59"/>
      <c r="G59"/>
      <c r="I59"/>
      <c r="M59" s="33"/>
      <c r="N59" s="33"/>
    </row>
    <row r="60" spans="2:16" x14ac:dyDescent="0.3">
      <c r="B60"/>
      <c r="D60"/>
      <c r="E60"/>
      <c r="G60"/>
      <c r="I60"/>
      <c r="L60"/>
      <c r="M60" s="33"/>
      <c r="N60" s="33"/>
      <c r="P60"/>
    </row>
    <row r="61" spans="2:16" x14ac:dyDescent="0.3">
      <c r="B61"/>
      <c r="D61"/>
      <c r="E61"/>
      <c r="G61"/>
      <c r="I61"/>
      <c r="L61"/>
      <c r="M61" s="33"/>
      <c r="N61" s="33"/>
      <c r="P61"/>
    </row>
    <row r="62" spans="2:16" x14ac:dyDescent="0.3">
      <c r="B62"/>
      <c r="D62"/>
      <c r="E62"/>
      <c r="G62"/>
      <c r="I62"/>
      <c r="L62"/>
      <c r="M62" s="33"/>
      <c r="N62" s="33"/>
      <c r="P62"/>
    </row>
    <row r="63" spans="2:16" x14ac:dyDescent="0.3">
      <c r="B63"/>
      <c r="D63"/>
      <c r="E63"/>
      <c r="G63"/>
      <c r="I63"/>
      <c r="L63"/>
      <c r="M63" s="33"/>
      <c r="N63" s="33"/>
      <c r="P63"/>
    </row>
    <row r="64" spans="2:16" x14ac:dyDescent="0.3">
      <c r="B64"/>
      <c r="D64"/>
      <c r="E64"/>
      <c r="G64"/>
      <c r="I64"/>
      <c r="L64"/>
      <c r="M64" s="33"/>
      <c r="N64" s="33"/>
      <c r="P64"/>
    </row>
    <row r="65" spans="2:16" x14ac:dyDescent="0.3">
      <c r="B65"/>
      <c r="D65"/>
      <c r="E65"/>
      <c r="G65"/>
      <c r="I65"/>
      <c r="L65"/>
      <c r="M65" s="33"/>
      <c r="N65" s="33"/>
      <c r="P65"/>
    </row>
    <row r="66" spans="2:16" x14ac:dyDescent="0.3">
      <c r="B66"/>
      <c r="D66"/>
      <c r="E66"/>
      <c r="G66"/>
      <c r="I66"/>
      <c r="L66"/>
      <c r="M66" s="33"/>
      <c r="N66" s="33"/>
      <c r="P66"/>
    </row>
    <row r="67" spans="2:16" x14ac:dyDescent="0.3">
      <c r="B67"/>
      <c r="D67"/>
      <c r="E67"/>
      <c r="G67"/>
      <c r="I67"/>
      <c r="L67"/>
      <c r="M67" s="33"/>
      <c r="N67" s="33"/>
      <c r="P67"/>
    </row>
    <row r="68" spans="2:16" x14ac:dyDescent="0.3">
      <c r="B68"/>
      <c r="D68"/>
      <c r="E68"/>
      <c r="G68"/>
      <c r="I68"/>
      <c r="L68"/>
      <c r="M68" s="33"/>
      <c r="N68" s="33"/>
      <c r="P68"/>
    </row>
    <row r="69" spans="2:16" x14ac:dyDescent="0.3">
      <c r="B69"/>
      <c r="D69"/>
      <c r="E69"/>
      <c r="G69"/>
      <c r="I69"/>
      <c r="L69"/>
      <c r="M69" s="33"/>
      <c r="N69" s="33"/>
      <c r="P69"/>
    </row>
    <row r="70" spans="2:16" x14ac:dyDescent="0.3">
      <c r="B70"/>
      <c r="D70"/>
      <c r="E70"/>
      <c r="G70"/>
      <c r="I70"/>
      <c r="L70"/>
      <c r="M70" s="33"/>
      <c r="N70" s="33"/>
      <c r="P70"/>
    </row>
    <row r="71" spans="2:16" x14ac:dyDescent="0.3">
      <c r="B71"/>
      <c r="D71"/>
      <c r="E71"/>
      <c r="G71"/>
      <c r="I71"/>
      <c r="L71"/>
      <c r="M71" s="33"/>
      <c r="N71" s="33"/>
      <c r="P71"/>
    </row>
    <row r="72" spans="2:16" x14ac:dyDescent="0.3">
      <c r="B72"/>
      <c r="E72"/>
      <c r="G72"/>
      <c r="I72"/>
      <c r="M72" s="33"/>
      <c r="N72" s="33"/>
    </row>
    <row r="73" spans="2:16" x14ac:dyDescent="0.3">
      <c r="B73"/>
      <c r="E73"/>
      <c r="G73"/>
      <c r="I73"/>
      <c r="M73" s="33"/>
      <c r="N73" s="33"/>
    </row>
    <row r="74" spans="2:16" x14ac:dyDescent="0.3">
      <c r="B74"/>
      <c r="E74"/>
      <c r="G74"/>
      <c r="I74"/>
      <c r="M74" s="33"/>
      <c r="N74" s="33"/>
    </row>
    <row r="75" spans="2:16" x14ac:dyDescent="0.3">
      <c r="B75"/>
      <c r="D75"/>
      <c r="G75"/>
      <c r="L75"/>
      <c r="M75" s="33"/>
      <c r="N75" s="33"/>
      <c r="P75"/>
    </row>
    <row r="76" spans="2:16" x14ac:dyDescent="0.3">
      <c r="B76"/>
      <c r="D76"/>
      <c r="G76"/>
      <c r="L76"/>
      <c r="M76" s="33"/>
      <c r="N76" s="33"/>
      <c r="P76"/>
    </row>
    <row r="77" spans="2:16" x14ac:dyDescent="0.3">
      <c r="B77"/>
      <c r="D77"/>
      <c r="G77"/>
      <c r="L77"/>
      <c r="M77" s="33"/>
      <c r="N77" s="33"/>
      <c r="P77"/>
    </row>
    <row r="78" spans="2:16" x14ac:dyDescent="0.3">
      <c r="B78"/>
      <c r="D78"/>
      <c r="G78"/>
      <c r="L78"/>
      <c r="M78" s="33"/>
      <c r="N78" s="33"/>
      <c r="P78"/>
    </row>
    <row r="79" spans="2:16" x14ac:dyDescent="0.3">
      <c r="B79"/>
      <c r="D79"/>
      <c r="G79"/>
      <c r="L79"/>
      <c r="M79" s="33"/>
      <c r="N79" s="33"/>
      <c r="P79"/>
    </row>
    <row r="80" spans="2:16" x14ac:dyDescent="0.3">
      <c r="B80"/>
      <c r="G80"/>
      <c r="M80" s="33"/>
      <c r="N80" s="33"/>
    </row>
    <row r="81" spans="1:16" x14ac:dyDescent="0.3">
      <c r="B81"/>
      <c r="D81"/>
      <c r="G81"/>
      <c r="L81"/>
      <c r="M81" s="33"/>
      <c r="N81" s="33"/>
      <c r="P81"/>
    </row>
    <row r="82" spans="1:16" x14ac:dyDescent="0.3">
      <c r="B82"/>
      <c r="D82"/>
      <c r="G82"/>
      <c r="L82"/>
      <c r="M82" s="33"/>
      <c r="N82" s="33"/>
      <c r="P82"/>
    </row>
    <row r="83" spans="1:16" x14ac:dyDescent="0.3">
      <c r="B83"/>
      <c r="D83"/>
      <c r="G83"/>
      <c r="L83"/>
      <c r="M83" s="33"/>
      <c r="N83" s="33"/>
      <c r="P83"/>
    </row>
    <row r="84" spans="1:16" x14ac:dyDescent="0.3">
      <c r="B84"/>
      <c r="D84"/>
      <c r="G84"/>
      <c r="L84"/>
      <c r="M84" s="33"/>
      <c r="N84" s="33"/>
      <c r="P84"/>
    </row>
    <row r="85" spans="1:16" x14ac:dyDescent="0.3">
      <c r="B85"/>
      <c r="D85"/>
      <c r="G85"/>
      <c r="L85"/>
      <c r="M85" s="33"/>
      <c r="N85" s="33"/>
      <c r="P85"/>
    </row>
    <row r="86" spans="1:16" x14ac:dyDescent="0.3">
      <c r="B86"/>
      <c r="G86"/>
      <c r="M86" s="33"/>
      <c r="N86" s="33"/>
    </row>
    <row r="87" spans="1:16" x14ac:dyDescent="0.3">
      <c r="A87" s="83"/>
      <c r="B87"/>
      <c r="D87"/>
      <c r="G87"/>
      <c r="L87"/>
      <c r="M87" s="33"/>
      <c r="N87" s="33"/>
    </row>
    <row r="88" spans="1:16" x14ac:dyDescent="0.3">
      <c r="A88" s="83"/>
      <c r="B88"/>
      <c r="D88"/>
      <c r="G88"/>
      <c r="L88"/>
      <c r="M88" s="33"/>
      <c r="N88" s="33"/>
    </row>
    <row r="89" spans="1:16" x14ac:dyDescent="0.3">
      <c r="A89" s="83"/>
      <c r="B89"/>
      <c r="D89"/>
      <c r="G89"/>
      <c r="L89"/>
      <c r="M89" s="33"/>
      <c r="N89" s="33"/>
    </row>
    <row r="90" spans="1:16" x14ac:dyDescent="0.3">
      <c r="A90" s="83"/>
      <c r="B90"/>
      <c r="D90"/>
      <c r="G90"/>
      <c r="L90"/>
      <c r="M90" s="33"/>
      <c r="N90" s="33"/>
    </row>
    <row r="91" spans="1:16" x14ac:dyDescent="0.3">
      <c r="A91" s="83"/>
      <c r="B91"/>
      <c r="D91"/>
      <c r="G91"/>
      <c r="L91"/>
      <c r="M91" s="33"/>
      <c r="N91" s="33"/>
    </row>
    <row r="92" spans="1:16" x14ac:dyDescent="0.3">
      <c r="A92" s="83"/>
      <c r="B92"/>
      <c r="G92"/>
      <c r="M92" s="33"/>
      <c r="N92" s="33"/>
    </row>
    <row r="93" spans="1:16" x14ac:dyDescent="0.3">
      <c r="B93"/>
      <c r="D93"/>
      <c r="G93"/>
      <c r="L93"/>
      <c r="M93" s="33"/>
      <c r="N93" s="33"/>
    </row>
    <row r="94" spans="1:16" x14ac:dyDescent="0.3">
      <c r="B94"/>
      <c r="D94"/>
      <c r="G94"/>
      <c r="L94"/>
      <c r="M94" s="33"/>
      <c r="N94" s="33"/>
    </row>
    <row r="95" spans="1:16" x14ac:dyDescent="0.3">
      <c r="B95"/>
      <c r="D95"/>
      <c r="G95"/>
      <c r="L95"/>
      <c r="M95" s="33"/>
      <c r="N95" s="33"/>
    </row>
    <row r="96" spans="1:16" x14ac:dyDescent="0.3">
      <c r="B96"/>
      <c r="D96"/>
      <c r="G96"/>
      <c r="L96"/>
      <c r="M96" s="33"/>
      <c r="N96" s="33"/>
    </row>
    <row r="97" spans="1:16" x14ac:dyDescent="0.3">
      <c r="B97"/>
      <c r="D97"/>
      <c r="G97"/>
      <c r="L97"/>
      <c r="M97" s="33"/>
      <c r="N97" s="33"/>
    </row>
    <row r="98" spans="1:16" x14ac:dyDescent="0.3">
      <c r="B98"/>
      <c r="G98"/>
      <c r="M98" s="33"/>
      <c r="N98" s="33"/>
    </row>
    <row r="99" spans="1:16" x14ac:dyDescent="0.3">
      <c r="A99" s="83"/>
      <c r="B99"/>
      <c r="G99"/>
      <c r="I99"/>
      <c r="M99" s="33"/>
      <c r="N99" s="33"/>
    </row>
    <row r="100" spans="1:16" x14ac:dyDescent="0.3">
      <c r="A100" s="83"/>
      <c r="B100"/>
      <c r="D100"/>
      <c r="G100"/>
      <c r="I100"/>
      <c r="L100"/>
      <c r="M100" s="33"/>
      <c r="N100" s="33"/>
    </row>
    <row r="101" spans="1:16" x14ac:dyDescent="0.3">
      <c r="A101" s="83"/>
      <c r="B101"/>
      <c r="D101"/>
      <c r="G101"/>
      <c r="I101"/>
      <c r="L101"/>
      <c r="M101" s="33"/>
      <c r="N101" s="33"/>
    </row>
    <row r="102" spans="1:16" x14ac:dyDescent="0.3">
      <c r="A102" s="83"/>
      <c r="B102"/>
      <c r="D102"/>
      <c r="G102"/>
      <c r="I102"/>
      <c r="L102"/>
      <c r="M102" s="33"/>
      <c r="N102" s="33"/>
    </row>
    <row r="103" spans="1:16" x14ac:dyDescent="0.3">
      <c r="A103" s="83"/>
      <c r="B103"/>
      <c r="D103"/>
      <c r="G103"/>
      <c r="I103"/>
      <c r="L103"/>
      <c r="M103" s="33"/>
      <c r="N103" s="33"/>
    </row>
    <row r="104" spans="1:16" x14ac:dyDescent="0.3">
      <c r="A104" s="83"/>
      <c r="B104"/>
      <c r="D104"/>
      <c r="G104"/>
      <c r="I104"/>
      <c r="L104"/>
      <c r="M104" s="33"/>
      <c r="N104" s="33"/>
    </row>
    <row r="105" spans="1:16" x14ac:dyDescent="0.3">
      <c r="B105"/>
      <c r="G105"/>
      <c r="M105" s="33"/>
      <c r="N105" s="33"/>
    </row>
    <row r="106" spans="1:16" x14ac:dyDescent="0.3">
      <c r="B106"/>
      <c r="D106"/>
      <c r="G106"/>
      <c r="L106"/>
      <c r="M106" s="33"/>
      <c r="N106" s="33"/>
    </row>
    <row r="107" spans="1:16" x14ac:dyDescent="0.3">
      <c r="B107"/>
      <c r="D107"/>
      <c r="G107"/>
      <c r="L107"/>
      <c r="M107" s="33"/>
      <c r="N107" s="33"/>
    </row>
    <row r="108" spans="1:16" x14ac:dyDescent="0.3">
      <c r="B108"/>
      <c r="D108"/>
      <c r="G108"/>
      <c r="L108"/>
      <c r="M108" s="33"/>
      <c r="N108" s="33"/>
    </row>
    <row r="109" spans="1:16" x14ac:dyDescent="0.3">
      <c r="B109"/>
      <c r="D109"/>
      <c r="G109"/>
      <c r="L109"/>
      <c r="M109" s="33"/>
      <c r="N109" s="33"/>
    </row>
    <row r="110" spans="1:16" x14ac:dyDescent="0.3">
      <c r="B110"/>
      <c r="D110"/>
      <c r="G110"/>
      <c r="L110"/>
      <c r="M110" s="33"/>
      <c r="N110" s="33"/>
    </row>
    <row r="111" spans="1:16" x14ac:dyDescent="0.3">
      <c r="B111"/>
      <c r="D111"/>
      <c r="G111"/>
      <c r="L111"/>
      <c r="M111" s="33"/>
      <c r="N111" s="33"/>
      <c r="P111"/>
    </row>
    <row r="112" spans="1:16" x14ac:dyDescent="0.3">
      <c r="B112"/>
      <c r="D112"/>
      <c r="G112"/>
      <c r="L112"/>
      <c r="M112" s="33"/>
      <c r="N112" s="33"/>
      <c r="P112"/>
    </row>
    <row r="113" spans="2:16" x14ac:dyDescent="0.3">
      <c r="B113"/>
      <c r="D113"/>
      <c r="G113"/>
      <c r="L113"/>
      <c r="M113" s="33"/>
      <c r="N113" s="33"/>
      <c r="P113"/>
    </row>
    <row r="114" spans="2:16" x14ac:dyDescent="0.3">
      <c r="B114"/>
      <c r="D114"/>
      <c r="G114"/>
      <c r="L114"/>
      <c r="M114" s="33"/>
      <c r="N114" s="33"/>
      <c r="P114"/>
    </row>
    <row r="115" spans="2:16" x14ac:dyDescent="0.3">
      <c r="B115"/>
      <c r="D115"/>
      <c r="G115"/>
      <c r="L115"/>
      <c r="M115" s="33"/>
      <c r="N115" s="33"/>
      <c r="P115"/>
    </row>
    <row r="116" spans="2:16" x14ac:dyDescent="0.3">
      <c r="B116"/>
      <c r="G116"/>
      <c r="M116" s="33"/>
      <c r="N116" s="33"/>
    </row>
    <row r="117" spans="2:16" x14ac:dyDescent="0.3">
      <c r="B117"/>
      <c r="D117"/>
      <c r="L117"/>
      <c r="M117" s="33"/>
      <c r="N117" s="33"/>
      <c r="P117"/>
    </row>
    <row r="118" spans="2:16" x14ac:dyDescent="0.3">
      <c r="B118"/>
      <c r="D118"/>
      <c r="L118"/>
      <c r="M118" s="33"/>
      <c r="N118" s="33"/>
      <c r="P118"/>
    </row>
    <row r="119" spans="2:16" x14ac:dyDescent="0.3">
      <c r="B119"/>
      <c r="D119"/>
      <c r="L119"/>
      <c r="M119" s="33"/>
      <c r="N119" s="33"/>
      <c r="P119"/>
    </row>
    <row r="120" spans="2:16" x14ac:dyDescent="0.3">
      <c r="B120"/>
      <c r="D120"/>
      <c r="L120"/>
      <c r="M120" s="33"/>
      <c r="N120" s="33"/>
      <c r="P120"/>
    </row>
    <row r="121" spans="2:16" x14ac:dyDescent="0.3">
      <c r="B121"/>
      <c r="D121"/>
      <c r="L121"/>
      <c r="M121" s="33"/>
      <c r="N121" s="33"/>
      <c r="P121"/>
    </row>
    <row r="122" spans="2:16" x14ac:dyDescent="0.3">
      <c r="B122"/>
      <c r="M122" s="33"/>
      <c r="N122" s="33"/>
    </row>
  </sheetData>
  <phoneticPr fontId="3" type="noConversion"/>
  <dataValidations count="1">
    <dataValidation type="list" allowBlank="1" showInputMessage="1" showErrorMessage="1" sqref="Q2:Q122" xr:uid="{936963CD-63A4-4152-9549-F7D0C1F3BC82}">
      <formula1>"Yes,No"</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D24E730-4306-416E-B93F-FF57B371FB87}">
          <x14:formula1>
            <xm:f>'7. Define sys, collect. &amp; datas'!$B$3:$B$1048576</xm:f>
          </x14:formula1>
          <xm:sqref>E2:E122</xm:sqref>
        </x14:dataValidation>
        <x14:dataValidation type="list" allowBlank="1" showInputMessage="1" showErrorMessage="1" xr:uid="{F15092A8-4ADA-4741-85B9-22B75E1B91D6}">
          <x14:formula1>
            <xm:f>'7. Define sys, collect. &amp; datas'!$C$3:$C$1048576</xm:f>
          </x14:formula1>
          <xm:sqref>G1:G1048576</xm:sqref>
        </x14:dataValidation>
        <x14:dataValidation type="list" allowBlank="1" showInputMessage="1" showErrorMessage="1" xr:uid="{4826531B-BA3B-47F8-BF34-0D516D057769}">
          <x14:formula1>
            <xm:f>'7. Define sys, collect. &amp; datas'!$D:$D</xm:f>
          </x14:formula1>
          <xm:sqref>I1:I1048576</xm:sqref>
        </x14:dataValidation>
        <x14:dataValidation type="list" allowBlank="1" showInputMessage="1" showErrorMessage="1" xr:uid="{4060D669-C9CB-41DB-9B53-2A4D7BA31657}">
          <x14:formula1>
            <xm:f>'3. L3 Data Attributes'!$H:$H</xm:f>
          </x14:formula1>
          <xm:sqref>D2:D122</xm:sqref>
        </x14:dataValidation>
        <x14:dataValidation type="list" allowBlank="1" showInputMessage="1" showErrorMessage="1" xr:uid="{007FCC87-B40F-4636-9E88-49FC9BC149C8}">
          <x14:formula1>
            <xm:f>'3. L3 Data Attributes'!$E$2:E922</xm:f>
          </x14:formula1>
          <xm:sqref>C2:C49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3"/>
  <sheetViews>
    <sheetView zoomScale="70" zoomScaleNormal="70" workbookViewId="0">
      <selection activeCell="A4" sqref="A4:A6087"/>
    </sheetView>
  </sheetViews>
  <sheetFormatPr defaultRowHeight="14.4" x14ac:dyDescent="0.3"/>
  <cols>
    <col min="1" max="1" width="5.77734375" bestFit="1" customWidth="1"/>
    <col min="5" max="5" width="43.6640625" style="72" bestFit="1" customWidth="1"/>
    <col min="6" max="6" width="32.21875" style="72" bestFit="1" customWidth="1"/>
  </cols>
  <sheetData>
    <row r="1" spans="1:7" x14ac:dyDescent="0.3">
      <c r="A1" t="s">
        <v>13</v>
      </c>
      <c r="B1" t="s">
        <v>74</v>
      </c>
      <c r="C1" t="s">
        <v>85</v>
      </c>
      <c r="D1" t="s">
        <v>87</v>
      </c>
      <c r="E1" t="s">
        <v>128</v>
      </c>
      <c r="F1" t="s">
        <v>89</v>
      </c>
      <c r="G1" t="s">
        <v>21</v>
      </c>
    </row>
    <row r="2" spans="1:7" x14ac:dyDescent="0.3">
      <c r="A2">
        <v>1</v>
      </c>
    </row>
    <row r="3" spans="1:7" x14ac:dyDescent="0.3">
      <c r="A3">
        <v>2</v>
      </c>
    </row>
  </sheetData>
  <conditionalFormatting sqref="C2:C1048576">
    <cfRule type="expression" dxfId="65" priority="1">
      <formula>#REF!="No"</formula>
    </cfRule>
  </conditionalFormatting>
  <conditionalFormatting sqref="C2:G1048576">
    <cfRule type="expression" dxfId="64"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D29"/>
  <sheetViews>
    <sheetView zoomScale="80" zoomScaleNormal="80" workbookViewId="0">
      <selection activeCell="B4" sqref="B4"/>
    </sheetView>
  </sheetViews>
  <sheetFormatPr defaultRowHeight="14.4" x14ac:dyDescent="0.3"/>
  <cols>
    <col min="2" max="2" width="32.21875" bestFit="1" customWidth="1"/>
    <col min="3" max="3" width="30" bestFit="1" customWidth="1"/>
    <col min="4" max="4" width="63.21875" bestFit="1" customWidth="1"/>
  </cols>
  <sheetData>
    <row r="1" spans="2:4" x14ac:dyDescent="0.3">
      <c r="B1" t="s">
        <v>130</v>
      </c>
      <c r="C1" t="s">
        <v>131</v>
      </c>
      <c r="D1" t="s">
        <v>132</v>
      </c>
    </row>
    <row r="2" spans="2:4" x14ac:dyDescent="0.3">
      <c r="B2" t="s">
        <v>175</v>
      </c>
      <c r="C2" t="s">
        <v>242</v>
      </c>
      <c r="D2" t="s">
        <v>243</v>
      </c>
    </row>
    <row r="3" spans="2:4" x14ac:dyDescent="0.3">
      <c r="B3" t="s">
        <v>173</v>
      </c>
      <c r="C3" t="s">
        <v>196</v>
      </c>
      <c r="D3" t="s">
        <v>244</v>
      </c>
    </row>
    <row r="4" spans="2:4" x14ac:dyDescent="0.3">
      <c r="B4" s="79" t="s">
        <v>174</v>
      </c>
      <c r="C4" t="s">
        <v>247</v>
      </c>
      <c r="D4" t="s">
        <v>245</v>
      </c>
    </row>
    <row r="5" spans="2:4" x14ac:dyDescent="0.3">
      <c r="B5" t="s">
        <v>246</v>
      </c>
      <c r="C5" t="s">
        <v>252</v>
      </c>
      <c r="D5" t="s">
        <v>248</v>
      </c>
    </row>
    <row r="6" spans="2:4" x14ac:dyDescent="0.3">
      <c r="B6" s="79" t="s">
        <v>249</v>
      </c>
      <c r="C6" t="s">
        <v>251</v>
      </c>
      <c r="D6" t="s">
        <v>250</v>
      </c>
    </row>
    <row r="7" spans="2:4" x14ac:dyDescent="0.3">
      <c r="B7" t="s">
        <v>257</v>
      </c>
      <c r="C7" t="s">
        <v>258</v>
      </c>
      <c r="D7" t="s">
        <v>270</v>
      </c>
    </row>
    <row r="8" spans="2:4" x14ac:dyDescent="0.3">
      <c r="B8" t="s">
        <v>175</v>
      </c>
      <c r="C8" t="s">
        <v>242</v>
      </c>
      <c r="D8" t="s">
        <v>243</v>
      </c>
    </row>
    <row r="9" spans="2:4" x14ac:dyDescent="0.3">
      <c r="B9" s="79"/>
    </row>
    <row r="10" spans="2:4" x14ac:dyDescent="0.3">
      <c r="B10" s="79"/>
    </row>
    <row r="11" spans="2:4" x14ac:dyDescent="0.3">
      <c r="B11" s="79"/>
    </row>
    <row r="12" spans="2:4" x14ac:dyDescent="0.3">
      <c r="B12" s="82"/>
    </row>
    <row r="13" spans="2:4" x14ac:dyDescent="0.3">
      <c r="B13" s="82"/>
    </row>
    <row r="15" spans="2:4" x14ac:dyDescent="0.3">
      <c r="B15" s="79"/>
      <c r="C15" s="80"/>
      <c r="D15" s="81"/>
    </row>
    <row r="29" spans="4:4" x14ac:dyDescent="0.3">
      <c r="D29" t="s">
        <v>271</v>
      </c>
    </row>
  </sheetData>
  <phoneticPr fontId="3"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zoomScale="63" zoomScaleNormal="50" workbookViewId="0">
      <selection activeCell="F21" sqref="F21"/>
    </sheetView>
  </sheetViews>
  <sheetFormatPr defaultColWidth="8.77734375" defaultRowHeight="14.4" x14ac:dyDescent="0.3"/>
  <cols>
    <col min="2" max="4" width="8.88671875"/>
    <col min="5" max="5" width="21.5546875" style="65" customWidth="1"/>
    <col min="6" max="6" width="82.21875" style="77" customWidth="1"/>
    <col min="7" max="7" width="22.5546875" style="77" customWidth="1"/>
    <col min="8" max="8" width="15.21875" style="73" customWidth="1"/>
    <col min="9" max="9" width="44.5546875" style="78" bestFit="1" customWidth="1"/>
    <col min="10" max="10" width="7.77734375" style="73" customWidth="1"/>
    <col min="11" max="11" width="8.88671875"/>
    <col min="12" max="12" width="9.21875" style="31"/>
  </cols>
  <sheetData>
    <row r="1" spans="2:11" x14ac:dyDescent="0.3">
      <c r="B1" t="s">
        <v>13</v>
      </c>
      <c r="C1" t="s">
        <v>74</v>
      </c>
      <c r="D1" t="s">
        <v>129</v>
      </c>
      <c r="E1" t="s">
        <v>96</v>
      </c>
      <c r="F1" t="s">
        <v>98</v>
      </c>
      <c r="G1" t="s">
        <v>100</v>
      </c>
      <c r="H1" t="s">
        <v>102</v>
      </c>
      <c r="I1" t="s">
        <v>104</v>
      </c>
      <c r="J1" t="s">
        <v>106</v>
      </c>
      <c r="K1" t="s">
        <v>108</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11"/>
  <sheetViews>
    <sheetView workbookViewId="0">
      <selection activeCell="D15" sqref="D15"/>
    </sheetView>
  </sheetViews>
  <sheetFormatPr defaultRowHeight="14.4" x14ac:dyDescent="0.3"/>
  <cols>
    <col min="2" max="2" width="9.77734375" customWidth="1"/>
    <col min="3" max="3" width="32.77734375" bestFit="1" customWidth="1"/>
    <col min="4" max="4" width="37.77734375" bestFit="1" customWidth="1"/>
  </cols>
  <sheetData>
    <row r="1" spans="2:4" x14ac:dyDescent="0.3">
      <c r="B1" t="s">
        <v>13</v>
      </c>
      <c r="C1" t="s">
        <v>112</v>
      </c>
      <c r="D1" t="s">
        <v>114</v>
      </c>
    </row>
    <row r="2" spans="2:4" x14ac:dyDescent="0.3">
      <c r="B2">
        <v>1</v>
      </c>
      <c r="C2" t="s">
        <v>272</v>
      </c>
      <c r="D2" s="95" t="s">
        <v>273</v>
      </c>
    </row>
    <row r="3" spans="2:4" x14ac:dyDescent="0.3">
      <c r="B3">
        <v>2</v>
      </c>
      <c r="C3" t="s">
        <v>274</v>
      </c>
      <c r="D3" s="95" t="s">
        <v>275</v>
      </c>
    </row>
    <row r="4" spans="2:4" x14ac:dyDescent="0.3">
      <c r="B4">
        <v>3</v>
      </c>
      <c r="C4" t="s">
        <v>276</v>
      </c>
      <c r="D4" s="95" t="s">
        <v>277</v>
      </c>
    </row>
    <row r="5" spans="2:4" x14ac:dyDescent="0.3">
      <c r="B5">
        <v>4</v>
      </c>
      <c r="C5" t="s">
        <v>278</v>
      </c>
      <c r="D5" s="95" t="s">
        <v>279</v>
      </c>
    </row>
    <row r="6" spans="2:4" x14ac:dyDescent="0.3">
      <c r="B6">
        <v>5</v>
      </c>
      <c r="C6" t="s">
        <v>280</v>
      </c>
      <c r="D6" s="95" t="s">
        <v>281</v>
      </c>
    </row>
    <row r="7" spans="2:4" x14ac:dyDescent="0.3">
      <c r="B7">
        <v>6</v>
      </c>
      <c r="C7" t="s">
        <v>282</v>
      </c>
      <c r="D7" s="95" t="s">
        <v>283</v>
      </c>
    </row>
    <row r="8" spans="2:4" x14ac:dyDescent="0.3">
      <c r="B8">
        <v>7</v>
      </c>
      <c r="C8" t="s">
        <v>284</v>
      </c>
      <c r="D8" s="95" t="s">
        <v>285</v>
      </c>
    </row>
    <row r="9" spans="2:4" x14ac:dyDescent="0.3">
      <c r="B9">
        <v>8</v>
      </c>
      <c r="C9" t="s">
        <v>286</v>
      </c>
      <c r="D9" s="95" t="s">
        <v>287</v>
      </c>
    </row>
    <row r="10" spans="2:4" x14ac:dyDescent="0.3">
      <c r="B10">
        <v>9</v>
      </c>
      <c r="C10" t="s">
        <v>288</v>
      </c>
      <c r="D10" s="95" t="s">
        <v>289</v>
      </c>
    </row>
    <row r="11" spans="2:4" x14ac:dyDescent="0.3">
      <c r="B11">
        <v>10</v>
      </c>
      <c r="C11" t="s">
        <v>290</v>
      </c>
      <c r="D11" s="95" t="s">
        <v>291</v>
      </c>
    </row>
  </sheetData>
  <hyperlinks>
    <hyperlink ref="D2" r:id="rId1" xr:uid="{13A924F8-1718-409C-9477-E9DCE96F033D}"/>
    <hyperlink ref="D3" r:id="rId2" xr:uid="{123A8E7D-D6BE-499D-AF0E-33F3175DD57D}"/>
    <hyperlink ref="D4" r:id="rId3" xr:uid="{31C12E82-2D22-4BF7-B304-5F35529870BB}"/>
    <hyperlink ref="D5" r:id="rId4" xr:uid="{6712489E-B25A-4D84-9170-79851570945E}"/>
    <hyperlink ref="D6" r:id="rId5" xr:uid="{A5DE8ADE-19A8-4D59-888D-C5FFDE827A90}"/>
    <hyperlink ref="D7" r:id="rId6" xr:uid="{9297A45D-91BE-4EE4-ACC8-949D8E2F721F}"/>
    <hyperlink ref="D8" r:id="rId7" xr:uid="{4CF5E370-4DF0-47B1-B3E1-BE82A33361CD}"/>
    <hyperlink ref="D9" r:id="rId8" xr:uid="{FEDF30F5-BD48-4996-9676-D913FCFFE90A}"/>
    <hyperlink ref="D10" r:id="rId9" xr:uid="{7A2D40CC-584F-460C-8A49-D3CA66026C5E}"/>
    <hyperlink ref="D11" r:id="rId10" xr:uid="{77D5F62D-AABF-47FE-A53E-1E52270151EF}"/>
  </hyperlinks>
  <pageMargins left="0.7" right="0.7" top="0.75" bottom="0.75" header="0.3" footer="0.3"/>
  <tableParts count="1">
    <tablePart r:id="rId1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61" zoomScaleNormal="80" workbookViewId="0">
      <selection activeCell="K2" sqref="K2:L63"/>
    </sheetView>
  </sheetViews>
  <sheetFormatPr defaultRowHeight="14.4" x14ac:dyDescent="0.3"/>
  <cols>
    <col min="3" max="3" width="55" bestFit="1" customWidth="1"/>
    <col min="6" max="6" width="65.77734375" bestFit="1" customWidth="1"/>
    <col min="9" max="9" width="93" bestFit="1" customWidth="1"/>
    <col min="12" max="12" width="41.5546875" bestFit="1" customWidth="1"/>
  </cols>
  <sheetData>
    <row r="1" spans="2:12" x14ac:dyDescent="0.3">
      <c r="B1" t="s">
        <v>13</v>
      </c>
      <c r="C1" t="s">
        <v>171</v>
      </c>
      <c r="E1" t="s">
        <v>13</v>
      </c>
      <c r="F1" t="s">
        <v>133</v>
      </c>
      <c r="H1" t="s">
        <v>13</v>
      </c>
      <c r="I1" t="s">
        <v>134</v>
      </c>
      <c r="K1" t="s">
        <v>13</v>
      </c>
      <c r="L1" t="s">
        <v>136</v>
      </c>
    </row>
  </sheetData>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C10" sqref="C10"/>
    </sheetView>
  </sheetViews>
  <sheetFormatPr defaultRowHeight="14.4" x14ac:dyDescent="0.3"/>
  <cols>
    <col min="2" max="2" width="37.88671875" bestFit="1" customWidth="1"/>
    <col min="3" max="3" width="109.77734375" style="63" customWidth="1"/>
    <col min="7" max="7" width="29.33203125" bestFit="1" customWidth="1"/>
  </cols>
  <sheetData>
    <row r="2" spans="2:3" x14ac:dyDescent="0.3">
      <c r="B2" s="68" t="s">
        <v>72</v>
      </c>
      <c r="C2" s="71" t="s">
        <v>11</v>
      </c>
    </row>
    <row r="3" spans="2:3" x14ac:dyDescent="0.3">
      <c r="B3" s="66" t="s">
        <v>168</v>
      </c>
      <c r="C3" s="69"/>
    </row>
    <row r="4" spans="2:3" x14ac:dyDescent="0.3">
      <c r="B4" s="66" t="s">
        <v>137</v>
      </c>
      <c r="C4" s="69"/>
    </row>
    <row r="5" spans="2:3" x14ac:dyDescent="0.3">
      <c r="B5" s="66" t="s">
        <v>138</v>
      </c>
      <c r="C5" s="69"/>
    </row>
    <row r="6" spans="2:3" x14ac:dyDescent="0.3">
      <c r="B6" s="66" t="s">
        <v>139</v>
      </c>
      <c r="C6" s="70" t="s">
        <v>93</v>
      </c>
    </row>
    <row r="7" spans="2:3" x14ac:dyDescent="0.3">
      <c r="B7" s="66" t="s">
        <v>140</v>
      </c>
      <c r="C7" s="69"/>
    </row>
    <row r="8" spans="2:3" x14ac:dyDescent="0.3">
      <c r="B8" s="66" t="s">
        <v>141</v>
      </c>
      <c r="C8" s="63" t="s">
        <v>49</v>
      </c>
    </row>
    <row r="9" spans="2:3" x14ac:dyDescent="0.3">
      <c r="B9" s="66" t="s">
        <v>142</v>
      </c>
    </row>
    <row r="10" spans="2:3" ht="28.8" x14ac:dyDescent="0.3">
      <c r="B10" s="67" t="s">
        <v>143</v>
      </c>
      <c r="C10" s="63" t="s">
        <v>51</v>
      </c>
    </row>
    <row r="11" spans="2:3" x14ac:dyDescent="0.3">
      <c r="B11" s="66" t="s">
        <v>144</v>
      </c>
      <c r="C11" s="69"/>
    </row>
    <row r="12" spans="2:3" x14ac:dyDescent="0.3">
      <c r="B12" s="66" t="s">
        <v>145</v>
      </c>
      <c r="C12" t="s">
        <v>17</v>
      </c>
    </row>
    <row r="13" spans="2:3" x14ac:dyDescent="0.3">
      <c r="B13" s="66" t="s">
        <v>146</v>
      </c>
      <c r="C13"/>
    </row>
    <row r="14" spans="2:3" x14ac:dyDescent="0.3">
      <c r="B14" s="66" t="s">
        <v>147</v>
      </c>
      <c r="C14" t="s">
        <v>19</v>
      </c>
    </row>
    <row r="15" spans="2:3" x14ac:dyDescent="0.3">
      <c r="B15" s="66" t="s">
        <v>148</v>
      </c>
      <c r="C15" s="69"/>
    </row>
    <row r="16" spans="2:3" x14ac:dyDescent="0.3">
      <c r="B16" s="66" t="s">
        <v>149</v>
      </c>
      <c r="C16" t="s">
        <v>30</v>
      </c>
    </row>
    <row r="17" spans="2:3" x14ac:dyDescent="0.3">
      <c r="B17" s="66" t="s">
        <v>150</v>
      </c>
    </row>
    <row r="18" spans="2:3" ht="43.2" x14ac:dyDescent="0.3">
      <c r="B18" s="66" t="s">
        <v>151</v>
      </c>
      <c r="C18" s="63" t="s">
        <v>34</v>
      </c>
    </row>
    <row r="19" spans="2:3" x14ac:dyDescent="0.3">
      <c r="B19" s="66" t="s">
        <v>152</v>
      </c>
      <c r="C19" s="69"/>
    </row>
    <row r="20" spans="2:3" x14ac:dyDescent="0.3">
      <c r="B20" s="66" t="s">
        <v>153</v>
      </c>
      <c r="C20" t="s">
        <v>73</v>
      </c>
    </row>
    <row r="21" spans="2:3" x14ac:dyDescent="0.3">
      <c r="B21" s="66" t="s">
        <v>154</v>
      </c>
      <c r="C21" s="69"/>
    </row>
    <row r="22" spans="2:3" ht="28.8" x14ac:dyDescent="0.3">
      <c r="B22" s="66" t="s">
        <v>155</v>
      </c>
      <c r="C22" s="70" t="s">
        <v>94</v>
      </c>
    </row>
    <row r="23" spans="2:3" x14ac:dyDescent="0.3">
      <c r="B23" s="66" t="s">
        <v>156</v>
      </c>
      <c r="C23" s="69" t="s">
        <v>169</v>
      </c>
    </row>
    <row r="24" spans="2:3" x14ac:dyDescent="0.3">
      <c r="B24" s="66" t="s">
        <v>157</v>
      </c>
      <c r="C24" s="69"/>
    </row>
    <row r="25" spans="2:3" x14ac:dyDescent="0.3">
      <c r="B25" s="66" t="s">
        <v>158</v>
      </c>
      <c r="C25" s="70" t="s">
        <v>105</v>
      </c>
    </row>
    <row r="26" spans="2:3" x14ac:dyDescent="0.3">
      <c r="B26" s="66" t="s">
        <v>159</v>
      </c>
      <c r="C26" s="70" t="s">
        <v>109</v>
      </c>
    </row>
    <row r="27" spans="2:3" x14ac:dyDescent="0.3">
      <c r="B27" s="66" t="s">
        <v>160</v>
      </c>
      <c r="C27" s="69"/>
    </row>
    <row r="28" spans="2:3" x14ac:dyDescent="0.3">
      <c r="B28" s="66" t="s">
        <v>161</v>
      </c>
      <c r="C28" s="69"/>
    </row>
    <row r="29" spans="2:3" x14ac:dyDescent="0.3">
      <c r="B29" s="66" t="s">
        <v>162</v>
      </c>
      <c r="C29" s="69"/>
    </row>
    <row r="30" spans="2:3" x14ac:dyDescent="0.3">
      <c r="B30" s="66" t="s">
        <v>163</v>
      </c>
      <c r="C30" s="69"/>
    </row>
    <row r="31" spans="2:3" x14ac:dyDescent="0.3">
      <c r="B31" s="66" t="s">
        <v>164</v>
      </c>
      <c r="C31" s="69"/>
    </row>
    <row r="32" spans="2:3" x14ac:dyDescent="0.3">
      <c r="B32" s="66" t="s">
        <v>165</v>
      </c>
      <c r="C32" s="69"/>
    </row>
    <row r="33" spans="2:3" x14ac:dyDescent="0.3">
      <c r="B33" s="66" t="s">
        <v>166</v>
      </c>
      <c r="C33" s="69"/>
    </row>
    <row r="34" spans="2:3" x14ac:dyDescent="0.3">
      <c r="B34" s="66" t="s">
        <v>167</v>
      </c>
      <c r="C34" s="6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1"/>
  <sheetViews>
    <sheetView topLeftCell="C1" zoomScale="90" zoomScaleNormal="90" workbookViewId="0">
      <selection activeCell="E19" sqref="E19"/>
    </sheetView>
  </sheetViews>
  <sheetFormatPr defaultRowHeight="14.4" x14ac:dyDescent="0.3"/>
  <cols>
    <col min="2" max="2" width="15.21875" style="31" customWidth="1"/>
    <col min="3" max="3" width="20.88671875" style="31" bestFit="1" customWidth="1"/>
    <col min="4" max="4" width="20.44140625" style="33" customWidth="1"/>
    <col min="5" max="5" width="66.6640625" style="31" customWidth="1"/>
    <col min="6" max="6" width="35.44140625" style="31" customWidth="1"/>
    <col min="7" max="7" width="76" style="31" bestFit="1" customWidth="1"/>
    <col min="8" max="8" width="60.109375" style="31" bestFit="1" customWidth="1"/>
    <col min="9" max="9" width="42" style="31" bestFit="1" customWidth="1"/>
    <col min="10" max="10" width="13.21875" style="31" hidden="1" customWidth="1"/>
    <col min="11" max="11" width="9.5546875" style="31" bestFit="1" customWidth="1"/>
    <col min="12" max="12" width="61.21875" style="31" bestFit="1" customWidth="1"/>
    <col min="13" max="13" width="84.21875" style="31" bestFit="1" customWidth="1"/>
    <col min="14" max="15" width="15.109375" style="31" hidden="1" customWidth="1"/>
    <col min="16" max="16" width="29.21875" style="32" bestFit="1" customWidth="1"/>
    <col min="17" max="17" width="22.33203125" style="31" bestFit="1" customWidth="1"/>
  </cols>
  <sheetData>
    <row r="1" spans="2:17" x14ac:dyDescent="0.3">
      <c r="B1" t="s">
        <v>13</v>
      </c>
      <c r="C1" t="s">
        <v>66</v>
      </c>
      <c r="D1" s="31" t="s">
        <v>188</v>
      </c>
      <c r="E1" t="s">
        <v>185</v>
      </c>
      <c r="F1" s="31" t="s">
        <v>186</v>
      </c>
      <c r="G1" s="31" t="s">
        <v>187</v>
      </c>
      <c r="H1" s="31" t="s">
        <v>189</v>
      </c>
      <c r="I1" s="31" t="s">
        <v>190</v>
      </c>
      <c r="J1" s="31" t="s">
        <v>191</v>
      </c>
      <c r="K1" s="31" t="s">
        <v>192</v>
      </c>
      <c r="L1" s="31" t="s">
        <v>321</v>
      </c>
      <c r="M1" s="31" t="s">
        <v>193</v>
      </c>
      <c r="N1" s="31" t="s">
        <v>194</v>
      </c>
      <c r="O1" s="31" t="s">
        <v>195</v>
      </c>
      <c r="P1" t="s">
        <v>21</v>
      </c>
      <c r="Q1" t="s">
        <v>322</v>
      </c>
    </row>
    <row r="2" spans="2:17" x14ac:dyDescent="0.3">
      <c r="B2">
        <v>1</v>
      </c>
      <c r="C2" t="s">
        <v>175</v>
      </c>
      <c r="D2" s="33" t="str">
        <f>SUBSTITUTE(SUBSTITUTE(SUBSTITUTE(SUBSTITUTE(LOWER(C2),"&amp;",""),"-",""),"  ","-")," ","-")</f>
        <v>nodered</v>
      </c>
      <c r="E2" t="s">
        <v>241</v>
      </c>
      <c r="F2" s="33" t="str">
        <f>SUBSTITUTE(SUBSTITUTE(SUBSTITUTE(LOWER(E2),"&amp;",""),"  ","-")," ","-")</f>
        <v>sensor-data-processing</v>
      </c>
      <c r="G2" s="33" t="str">
        <f>Table416[[#This Row],[System Intermediate Qualified Name]]&amp;"--"&amp;Table416[[#This Row],[Process Intermediate Qualified Name]]</f>
        <v>nodered--sensor-data-processing</v>
      </c>
      <c r="H2" s="33" t="s">
        <v>328</v>
      </c>
      <c r="I2" s="33"/>
      <c r="J2" s="33"/>
      <c r="K2" s="33"/>
      <c r="L2" s="33" t="s">
        <v>329</v>
      </c>
      <c r="M2" s="33"/>
      <c r="N2" s="33"/>
      <c r="O2" s="33"/>
      <c r="Q2"/>
    </row>
    <row r="3" spans="2:17" x14ac:dyDescent="0.3">
      <c r="B3">
        <v>2</v>
      </c>
      <c r="C3" t="s">
        <v>173</v>
      </c>
      <c r="D3" s="33" t="str">
        <f>SUBSTITUTE(SUBSTITUTE(SUBSTITUTE(SUBSTITUTE(LOWER(C3),"&amp;",""),"-",""),"  ","-")," ","-")</f>
        <v>kafka-broker</v>
      </c>
      <c r="E3" t="s">
        <v>253</v>
      </c>
      <c r="F3" s="33" t="str">
        <f t="shared" ref="F3:F6" si="0">SUBSTITUTE(SUBSTITUTE(SUBSTITUTE(LOWER(E3),"&amp;",""),"  ","-")," ","-")</f>
        <v>data-ingestion</v>
      </c>
      <c r="G3" s="33" t="str">
        <f>Table416[[#This Row],[System Intermediate Qualified Name]]&amp;"--"&amp;Table416[[#This Row],[Process Intermediate Qualified Name]]</f>
        <v>kafka-broker--data-ingestion</v>
      </c>
      <c r="H3" s="33" t="s">
        <v>329</v>
      </c>
      <c r="I3" s="33"/>
      <c r="J3" s="33"/>
      <c r="K3" s="33"/>
      <c r="L3" s="33" t="s">
        <v>330</v>
      </c>
      <c r="M3" s="33"/>
      <c r="N3" s="33"/>
      <c r="O3" s="33"/>
    </row>
    <row r="4" spans="2:17" x14ac:dyDescent="0.3">
      <c r="B4">
        <v>3</v>
      </c>
      <c r="C4" t="s">
        <v>174</v>
      </c>
      <c r="D4" s="33" t="str">
        <f t="shared" ref="D4:D6" si="1">SUBSTITUTE(SUBSTITUTE(SUBSTITUTE(SUBSTITUTE(LOWER(C4),"&amp;",""),"-",""),"  ","-")," ","-")</f>
        <v>ksql-server</v>
      </c>
      <c r="E4" t="s">
        <v>254</v>
      </c>
      <c r="F4" s="33" t="str">
        <f t="shared" si="0"/>
        <v>data-transformation</v>
      </c>
      <c r="G4" s="33" t="str">
        <f>Table416[[#This Row],[System Intermediate Qualified Name]]&amp;"--"&amp;Table416[[#This Row],[Process Intermediate Qualified Name]]</f>
        <v>ksql-server--data-transformation</v>
      </c>
      <c r="H4" s="33" t="s">
        <v>330</v>
      </c>
      <c r="I4" s="33"/>
      <c r="J4" s="33"/>
      <c r="K4" s="33"/>
      <c r="L4" s="33" t="s">
        <v>331</v>
      </c>
      <c r="M4" s="33"/>
      <c r="N4" s="33"/>
      <c r="O4" s="33"/>
      <c r="Q4"/>
    </row>
    <row r="5" spans="2:17" x14ac:dyDescent="0.3">
      <c r="B5">
        <v>4</v>
      </c>
      <c r="C5" t="s">
        <v>246</v>
      </c>
      <c r="D5" s="33" t="str">
        <f t="shared" si="1"/>
        <v>telegraf</v>
      </c>
      <c r="E5" t="s">
        <v>255</v>
      </c>
      <c r="F5" s="33" t="str">
        <f t="shared" si="0"/>
        <v>data-transfer</v>
      </c>
      <c r="G5" s="33" t="str">
        <f>Table416[[#This Row],[System Intermediate Qualified Name]]&amp;"--"&amp;Table416[[#This Row],[Process Intermediate Qualified Name]]</f>
        <v>telegraf--data-transfer</v>
      </c>
      <c r="H5" s="33" t="s">
        <v>331</v>
      </c>
      <c r="I5" s="33"/>
      <c r="J5" s="33"/>
      <c r="K5" s="33"/>
      <c r="L5" s="33" t="s">
        <v>332</v>
      </c>
      <c r="M5" s="33"/>
      <c r="N5" s="33"/>
      <c r="O5" s="33"/>
      <c r="Q5"/>
    </row>
    <row r="6" spans="2:17" x14ac:dyDescent="0.3">
      <c r="B6">
        <v>5</v>
      </c>
      <c r="C6" t="s">
        <v>249</v>
      </c>
      <c r="D6" s="33" t="str">
        <f t="shared" si="1"/>
        <v>influxdb</v>
      </c>
      <c r="E6" t="s">
        <v>256</v>
      </c>
      <c r="F6" s="33" t="str">
        <f t="shared" si="0"/>
        <v>timeseries-data-storage</v>
      </c>
      <c r="G6" s="33" t="str">
        <f>Table416[[#This Row],[System Intermediate Qualified Name]]&amp;"--"&amp;Table416[[#This Row],[Process Intermediate Qualified Name]]</f>
        <v>influxdb--timeseries-data-storage</v>
      </c>
      <c r="H6" s="33" t="s">
        <v>332</v>
      </c>
      <c r="I6" s="33"/>
      <c r="J6" s="33"/>
      <c r="K6" s="33"/>
      <c r="L6" s="33" t="s">
        <v>333</v>
      </c>
      <c r="M6" s="33"/>
      <c r="N6" s="33"/>
      <c r="O6" s="33"/>
      <c r="Q6"/>
    </row>
    <row r="7" spans="2:17" x14ac:dyDescent="0.3">
      <c r="B7"/>
      <c r="C7"/>
      <c r="E7"/>
      <c r="F7" s="33"/>
      <c r="G7" s="33"/>
      <c r="H7" s="33"/>
      <c r="I7" s="33"/>
      <c r="J7" s="33"/>
      <c r="K7" s="33"/>
      <c r="L7" s="33"/>
      <c r="M7" s="33"/>
      <c r="N7" s="33"/>
      <c r="O7" s="33"/>
      <c r="P7"/>
      <c r="Q7"/>
    </row>
    <row r="8" spans="2:17" x14ac:dyDescent="0.3">
      <c r="B8"/>
      <c r="C8"/>
      <c r="E8"/>
      <c r="F8" s="33"/>
      <c r="G8" s="33"/>
      <c r="H8" s="33"/>
      <c r="I8" s="33"/>
      <c r="J8" s="33"/>
      <c r="K8" s="33"/>
      <c r="L8" s="33"/>
      <c r="M8" s="33"/>
      <c r="N8" s="33"/>
      <c r="O8" s="33"/>
      <c r="P8"/>
      <c r="Q8"/>
    </row>
    <row r="9" spans="2:17" x14ac:dyDescent="0.3">
      <c r="B9"/>
      <c r="C9"/>
      <c r="E9"/>
      <c r="F9" s="33"/>
      <c r="G9" s="33"/>
      <c r="H9" s="33"/>
      <c r="I9" s="33"/>
      <c r="J9" s="33"/>
      <c r="K9" s="33"/>
      <c r="L9" s="33"/>
      <c r="M9" s="33"/>
      <c r="N9" s="33"/>
      <c r="O9" s="33"/>
      <c r="P9"/>
      <c r="Q9"/>
    </row>
    <row r="10" spans="2:17" x14ac:dyDescent="0.3">
      <c r="B10"/>
      <c r="C10"/>
      <c r="E10"/>
      <c r="F10" s="33"/>
      <c r="G10" s="33"/>
      <c r="H10" s="33"/>
      <c r="I10" s="33"/>
      <c r="J10" s="33"/>
      <c r="K10" s="33"/>
      <c r="L10" s="33"/>
      <c r="M10" s="33"/>
      <c r="N10" s="33"/>
      <c r="O10" s="33"/>
      <c r="P10"/>
      <c r="Q10"/>
    </row>
    <row r="11" spans="2:17" x14ac:dyDescent="0.3">
      <c r="B11"/>
      <c r="C11"/>
      <c r="E11"/>
      <c r="F11" s="33"/>
      <c r="G11" s="33"/>
      <c r="H11" s="33"/>
      <c r="I11" s="33"/>
      <c r="J11" s="33"/>
      <c r="K11" s="33"/>
      <c r="L11" s="33"/>
      <c r="M11" s="33"/>
      <c r="N11" s="33"/>
      <c r="O11" s="33"/>
      <c r="P11"/>
      <c r="Q11"/>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886CF44-BF2A-4D2D-AC93-C34B20A6C1BB}">
          <x14:formula1>
            <xm:f>'4. L4 Fields'!$K:$K</xm:f>
          </x14:formula1>
          <xm:sqref>H1:O1048576</xm:sqref>
        </x14:dataValidation>
        <x14:dataValidation type="list" allowBlank="1" showInputMessage="1" showErrorMessage="1" xr:uid="{6D54FF9D-F337-49FA-A896-2BBCE423FBB8}">
          <x14:formula1>
            <xm:f>'7. Define sys, collect. &amp; datas'!$B:$B</xm:f>
          </x14:formula1>
          <xm:sqref>C2:C1048576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Props1.xml><?xml version="1.0" encoding="utf-8"?>
<ds:datastoreItem xmlns:ds="http://schemas.openxmlformats.org/officeDocument/2006/customXml" ds:itemID="{84A9C940-E29F-4C0C-A12B-338AFDA09985}">
  <ds:schemaRefs>
    <ds:schemaRef ds:uri="http://schemas.microsoft.com/sharepoint/v3/contenttype/forms"/>
  </ds:schemaRefs>
</ds:datastoreItem>
</file>

<file path=customXml/itemProps2.xml><?xml version="1.0" encoding="utf-8"?>
<ds:datastoreItem xmlns:ds="http://schemas.openxmlformats.org/officeDocument/2006/customXml" ds:itemID="{B3FAA992-2867-43AB-9E83-85D29FC27828}">
  <ds:schemaRefs>
    <ds:schemaRef ds:uri="http://schemas.microsoft.com/sharepoint/events"/>
  </ds:schemaRefs>
</ds:datastoreItem>
</file>

<file path=customXml/itemProps3.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3B21C31-4FF4-4E25-9266-F0ABA776A1D1}">
  <ds:schemaRefs>
    <ds:schemaRef ds:uri="http://purl.org/dc/terms/"/>
    <ds:schemaRef ds:uri="95a2761b-6bae-4427-bd46-7452e4749e80"/>
    <ds:schemaRef ds:uri="http://schemas.microsoft.com/office/2006/documentManagement/types"/>
    <ds:schemaRef ds:uri="http://purl.org/dc/dcmitype/"/>
    <ds:schemaRef ds:uri="http://schemas.microsoft.com/office/infopath/2007/PartnerControls"/>
    <ds:schemaRef ds:uri="http://www.w3.org/XML/1998/namespace"/>
    <ds:schemaRef ds:uri="http://schemas.microsoft.com/office/2006/metadata/properties"/>
    <ds:schemaRef ds:uri="495e38a1-0c24-42a5-986a-c99f97b8ff82"/>
    <ds:schemaRef ds:uri="http://schemas.openxmlformats.org/package/2006/metadata/core-properties"/>
    <ds:schemaRef ds:uri="http://schemas.microsoft.com/sharepoint/v3/fields"/>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3. L3 Data Attributes</vt:lpstr>
      <vt:lpstr>4. L4 Fields</vt:lpstr>
      <vt:lpstr>5. L5 Content Structure</vt:lpstr>
      <vt:lpstr>7. Define sys, collect. &amp; datas</vt:lpstr>
      <vt:lpstr>6. Data Quality Rulebook</vt:lpstr>
      <vt:lpstr>9. Person Table</vt:lpstr>
      <vt:lpstr>10. Maintenance</vt:lpstr>
      <vt:lpstr>11. Data Quality Glossary</vt:lpstr>
      <vt:lpstr>12. Process</vt:lpstr>
      <vt:lpstr>'12. Process'!Domain_name</vt:lpstr>
      <vt:lpstr>Domain_name</vt:lpstr>
      <vt:lpstr>'12.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Lorand Vatamany</cp:lastModifiedBy>
  <cp:revision/>
  <dcterms:created xsi:type="dcterms:W3CDTF">2015-06-05T18:17:20Z</dcterms:created>
  <dcterms:modified xsi:type="dcterms:W3CDTF">2024-11-04T12:53:59Z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