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wsl.localhost\Ubuntu\home\stutiayak\dev-atlas\aurelius\apps\m4i-data-dictionary-io\m4i_data_dictionary_io\example\"/>
    </mc:Choice>
  </mc:AlternateContent>
  <xr:revisionPtr revIDLastSave="0" documentId="13_ncr:1_{E7AAB383-52D3-40E8-A389-A7D080763592}" xr6:coauthVersionLast="47" xr6:coauthVersionMax="47" xr10:uidLastSave="{00000000-0000-0000-0000-000000000000}"/>
  <bookViews>
    <workbookView xWindow="-38520" yWindow="-120" windowWidth="38640" windowHeight="15720" tabRatio="808" firstSheet="4" activeTab="14"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 l="1"/>
  <c r="K4" i="2"/>
  <c r="K5" i="2"/>
  <c r="K6" i="2"/>
  <c r="K7" i="2"/>
  <c r="K8" i="2"/>
  <c r="K9" i="2"/>
  <c r="K10" i="2"/>
  <c r="K11" i="2"/>
  <c r="K12" i="2"/>
  <c r="K2" i="2"/>
  <c r="D2" i="1"/>
  <c r="D3" i="1"/>
  <c r="K90" i="9"/>
  <c r="K91" i="9"/>
  <c r="K92" i="9"/>
  <c r="K93" i="9"/>
  <c r="K94" i="9"/>
  <c r="K95" i="9"/>
  <c r="K96" i="9"/>
  <c r="K97" i="9"/>
  <c r="K98" i="9"/>
  <c r="K99" i="9"/>
  <c r="K100" i="9"/>
  <c r="K101" i="9"/>
  <c r="K102" i="9"/>
  <c r="K103" i="9"/>
  <c r="K104" i="9"/>
  <c r="K105" i="9"/>
  <c r="K106" i="9"/>
  <c r="K107" i="9"/>
  <c r="K108" i="9"/>
  <c r="F90" i="9"/>
  <c r="H90" i="9"/>
  <c r="J90" i="9"/>
  <c r="M90" i="9"/>
  <c r="N90" i="9" s="1"/>
  <c r="F91" i="9"/>
  <c r="H91" i="9"/>
  <c r="J91" i="9"/>
  <c r="M91" i="9"/>
  <c r="N91" i="9" s="1"/>
  <c r="F92" i="9"/>
  <c r="H92" i="9"/>
  <c r="J92" i="9"/>
  <c r="M92" i="9"/>
  <c r="N92" i="9" s="1"/>
  <c r="F93" i="9"/>
  <c r="H93" i="9"/>
  <c r="J93" i="9"/>
  <c r="M93" i="9"/>
  <c r="N93" i="9" s="1"/>
  <c r="F94" i="9"/>
  <c r="H94" i="9"/>
  <c r="J94" i="9"/>
  <c r="M94" i="9"/>
  <c r="N94" i="9" s="1"/>
  <c r="F95" i="9"/>
  <c r="H95" i="9"/>
  <c r="J95" i="9"/>
  <c r="M95" i="9"/>
  <c r="N95" i="9" s="1"/>
  <c r="F96" i="9"/>
  <c r="H96" i="9"/>
  <c r="J96" i="9"/>
  <c r="M96" i="9"/>
  <c r="N96" i="9" s="1"/>
  <c r="F97" i="9"/>
  <c r="H97" i="9"/>
  <c r="J97" i="9"/>
  <c r="M97" i="9"/>
  <c r="N97" i="9" s="1"/>
  <c r="F98" i="9"/>
  <c r="H98" i="9"/>
  <c r="J98" i="9"/>
  <c r="M98" i="9"/>
  <c r="N98" i="9" s="1"/>
  <c r="F99" i="9"/>
  <c r="H99" i="9"/>
  <c r="J99" i="9"/>
  <c r="M99" i="9"/>
  <c r="N99" i="9" s="1"/>
  <c r="F100" i="9"/>
  <c r="H100" i="9"/>
  <c r="J100" i="9"/>
  <c r="M100" i="9"/>
  <c r="N100" i="9" s="1"/>
  <c r="F101" i="9"/>
  <c r="H101" i="9"/>
  <c r="J101" i="9"/>
  <c r="M101" i="9"/>
  <c r="N101" i="9" s="1"/>
  <c r="F102" i="9"/>
  <c r="H102" i="9"/>
  <c r="J102" i="9"/>
  <c r="M102" i="9"/>
  <c r="N102" i="9" s="1"/>
  <c r="F103" i="9"/>
  <c r="H103" i="9"/>
  <c r="J103" i="9"/>
  <c r="M103" i="9"/>
  <c r="N103" i="9" s="1"/>
  <c r="F104" i="9"/>
  <c r="H104" i="9"/>
  <c r="J104" i="9"/>
  <c r="M104" i="9"/>
  <c r="N104" i="9" s="1"/>
  <c r="F105" i="9"/>
  <c r="H105" i="9"/>
  <c r="J105" i="9"/>
  <c r="M105" i="9"/>
  <c r="N105" i="9" s="1"/>
  <c r="F106" i="9"/>
  <c r="H106" i="9"/>
  <c r="J106" i="9"/>
  <c r="M106" i="9"/>
  <c r="N106" i="9" s="1"/>
  <c r="F107" i="9"/>
  <c r="H107" i="9"/>
  <c r="J107" i="9"/>
  <c r="M107" i="9"/>
  <c r="N107" i="9" s="1"/>
  <c r="F108" i="9"/>
  <c r="H108" i="9"/>
  <c r="J108" i="9"/>
  <c r="M108" i="9"/>
  <c r="N108" i="9" s="1"/>
  <c r="F109" i="9"/>
  <c r="K109" i="9" s="1"/>
  <c r="H109" i="9"/>
  <c r="J109" i="9"/>
  <c r="M109"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M55" i="9"/>
  <c r="N55" i="9" s="1"/>
  <c r="M56" i="9"/>
  <c r="N56" i="9" s="1"/>
  <c r="M57" i="9"/>
  <c r="N57" i="9" s="1"/>
  <c r="M58" i="9"/>
  <c r="N58" i="9" s="1"/>
  <c r="M59" i="9"/>
  <c r="N59" i="9" s="1"/>
  <c r="M60" i="9"/>
  <c r="N60" i="9" s="1"/>
  <c r="M61" i="9"/>
  <c r="N61" i="9" s="1"/>
  <c r="M62" i="9"/>
  <c r="N62" i="9" s="1"/>
  <c r="M63" i="9"/>
  <c r="N63" i="9" s="1"/>
  <c r="M64" i="9"/>
  <c r="N64" i="9" s="1"/>
  <c r="M65" i="9"/>
  <c r="N65" i="9" s="1"/>
  <c r="M66" i="9"/>
  <c r="N66" i="9" s="1"/>
  <c r="M67" i="9"/>
  <c r="N67" i="9" s="1"/>
  <c r="M68" i="9"/>
  <c r="N68" i="9" s="1"/>
  <c r="M69" i="9"/>
  <c r="N69" i="9" s="1"/>
  <c r="M70" i="9"/>
  <c r="N70" i="9" s="1"/>
  <c r="M71" i="9"/>
  <c r="N71" i="9" s="1"/>
  <c r="M72" i="9"/>
  <c r="N72" i="9" s="1"/>
  <c r="M73" i="9"/>
  <c r="N73" i="9" s="1"/>
  <c r="M74" i="9"/>
  <c r="N74" i="9" s="1"/>
  <c r="M75" i="9"/>
  <c r="N75" i="9" s="1"/>
  <c r="M76" i="9"/>
  <c r="N76" i="9" s="1"/>
  <c r="M77" i="9"/>
  <c r="N77" i="9" s="1"/>
  <c r="M78" i="9"/>
  <c r="N78" i="9" s="1"/>
  <c r="M79" i="9"/>
  <c r="N79" i="9" s="1"/>
  <c r="M80" i="9"/>
  <c r="N80" i="9" s="1"/>
  <c r="M81" i="9"/>
  <c r="N81" i="9" s="1"/>
  <c r="M82" i="9"/>
  <c r="N82" i="9" s="1"/>
  <c r="M83" i="9"/>
  <c r="N83" i="9" s="1"/>
  <c r="M84" i="9"/>
  <c r="N84" i="9" s="1"/>
  <c r="M85" i="9"/>
  <c r="N85" i="9" s="1"/>
  <c r="M86" i="9"/>
  <c r="N86" i="9" s="1"/>
  <c r="M87" i="9"/>
  <c r="N87" i="9" s="1"/>
  <c r="M88" i="9"/>
  <c r="N88" i="9" s="1"/>
  <c r="M89" i="9"/>
  <c r="N89" i="9" s="1"/>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D7" i="2"/>
  <c r="D8" i="2"/>
  <c r="D9" i="2"/>
  <c r="D10" i="2"/>
  <c r="D11" i="2"/>
  <c r="D12" i="2"/>
  <c r="G7" i="2"/>
  <c r="G8" i="2"/>
  <c r="G9" i="2"/>
  <c r="G10" i="2"/>
  <c r="G11" i="2"/>
  <c r="G12" i="2"/>
  <c r="D5" i="1"/>
  <c r="N109" i="9" l="1"/>
  <c r="E12" i="2"/>
  <c r="E11" i="2"/>
  <c r="E10" i="2"/>
  <c r="E9" i="2"/>
  <c r="E8" i="2"/>
  <c r="E7" i="2"/>
  <c r="F22" i="3"/>
  <c r="G22" i="3" s="1"/>
  <c r="H22" i="3" s="1"/>
  <c r="F21" i="3"/>
  <c r="G21" i="3" s="1"/>
  <c r="H21" i="3" s="1"/>
  <c r="F20" i="3"/>
  <c r="G20" i="3" s="1"/>
  <c r="H20" i="3" s="1"/>
  <c r="D2" i="2" l="1"/>
  <c r="D3" i="2"/>
  <c r="D4" i="2"/>
  <c r="D5" i="2"/>
  <c r="D6" i="2"/>
  <c r="D4" i="1"/>
  <c r="G2" i="2"/>
  <c r="F19" i="3"/>
  <c r="G19" i="3" s="1"/>
  <c r="H19" i="3" s="1"/>
  <c r="F18" i="3"/>
  <c r="G18" i="3" s="1"/>
  <c r="H18" i="3" s="1"/>
  <c r="F54" i="9"/>
  <c r="H54" i="9"/>
  <c r="J54" i="9"/>
  <c r="M54" i="9"/>
  <c r="N54" i="9" s="1"/>
  <c r="F53" i="9"/>
  <c r="H53" i="9"/>
  <c r="J53" i="9"/>
  <c r="M53" i="9"/>
  <c r="N53" i="9" s="1"/>
  <c r="F52" i="9"/>
  <c r="H52" i="9"/>
  <c r="J52" i="9"/>
  <c r="M52" i="9"/>
  <c r="N52" i="9" s="1"/>
  <c r="F51" i="9"/>
  <c r="H51" i="9"/>
  <c r="J51" i="9"/>
  <c r="M51" i="9"/>
  <c r="N51" i="9" s="1"/>
  <c r="F50" i="9"/>
  <c r="H50" i="9"/>
  <c r="J50" i="9"/>
  <c r="M50" i="9"/>
  <c r="N50" i="9" s="1"/>
  <c r="F49" i="9"/>
  <c r="H49" i="9"/>
  <c r="J49" i="9"/>
  <c r="M49" i="9"/>
  <c r="N49" i="9" s="1"/>
  <c r="F48" i="9"/>
  <c r="H48" i="9"/>
  <c r="J48" i="9"/>
  <c r="M48" i="9"/>
  <c r="N48" i="9" s="1"/>
  <c r="F47" i="9"/>
  <c r="H47" i="9"/>
  <c r="J47" i="9"/>
  <c r="M47" i="9"/>
  <c r="N47" i="9" s="1"/>
  <c r="F46" i="9"/>
  <c r="H46" i="9"/>
  <c r="J46" i="9"/>
  <c r="M46" i="9"/>
  <c r="N46" i="9" s="1"/>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E6" i="2" l="1"/>
  <c r="E5" i="2"/>
  <c r="E2" i="2"/>
  <c r="E3" i="2"/>
  <c r="E4" i="2"/>
  <c r="K46" i="9"/>
  <c r="K34" i="9"/>
  <c r="K52" i="9"/>
  <c r="K39" i="9"/>
  <c r="K35" i="9"/>
  <c r="K54" i="9"/>
  <c r="K53" i="9"/>
  <c r="K51" i="9"/>
  <c r="K50" i="9"/>
  <c r="K49" i="9"/>
  <c r="K47" i="9"/>
  <c r="K44" i="9"/>
  <c r="K43" i="9"/>
  <c r="K42" i="9"/>
  <c r="K41" i="9"/>
  <c r="K40" i="9"/>
  <c r="K38" i="9"/>
  <c r="K37" i="9"/>
  <c r="K36" i="9"/>
  <c r="K33" i="9"/>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N33" i="9" s="1"/>
  <c r="M34" i="9"/>
  <c r="N34" i="9" s="1"/>
  <c r="M35" i="9"/>
  <c r="N35" i="9" s="1"/>
  <c r="M36" i="9"/>
  <c r="N36" i="9" s="1"/>
  <c r="M37" i="9"/>
  <c r="N37" i="9" s="1"/>
  <c r="M38" i="9"/>
  <c r="N38" i="9" s="1"/>
  <c r="M39" i="9"/>
  <c r="N39" i="9" s="1"/>
  <c r="M40" i="9"/>
  <c r="N40" i="9" s="1"/>
  <c r="M41" i="9"/>
  <c r="N41" i="9" s="1"/>
  <c r="M42" i="9"/>
  <c r="N42" i="9" s="1"/>
  <c r="M43" i="9"/>
  <c r="N43" i="9" s="1"/>
  <c r="M44" i="9"/>
  <c r="N44" i="9" s="1"/>
  <c r="M45" i="9"/>
  <c r="H4" i="9" l="1"/>
  <c r="F5" i="9"/>
  <c r="H5" i="9"/>
  <c r="F6" i="9"/>
  <c r="H6" i="9"/>
  <c r="F7" i="9"/>
  <c r="H7" i="9"/>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K22" i="9" s="1"/>
  <c r="F23" i="9"/>
  <c r="H23" i="9"/>
  <c r="F24" i="9"/>
  <c r="H24" i="9"/>
  <c r="F25" i="9"/>
  <c r="H25" i="9"/>
  <c r="F26" i="9"/>
  <c r="H26" i="9"/>
  <c r="F27" i="9"/>
  <c r="H27" i="9"/>
  <c r="F28" i="9"/>
  <c r="H28" i="9"/>
  <c r="F29" i="9"/>
  <c r="H29" i="9"/>
  <c r="F30" i="9"/>
  <c r="H30" i="9"/>
  <c r="F31" i="9"/>
  <c r="H31" i="9"/>
  <c r="F32" i="9"/>
  <c r="H32" i="9"/>
  <c r="F45" i="9"/>
  <c r="H45" i="9"/>
  <c r="N20" i="9" l="1"/>
  <c r="N19" i="9"/>
  <c r="N18" i="9"/>
  <c r="N17" i="9"/>
  <c r="N16" i="9"/>
  <c r="N15" i="9"/>
  <c r="N14" i="9"/>
  <c r="K18" i="9"/>
  <c r="K17" i="9"/>
  <c r="K16" i="9"/>
  <c r="K15" i="9"/>
  <c r="J45" i="9"/>
  <c r="K45" i="9" l="1"/>
  <c r="N45" i="9"/>
  <c r="J32" i="9"/>
  <c r="J31" i="9"/>
  <c r="J30" i="9"/>
  <c r="J29" i="9"/>
  <c r="J28" i="9"/>
  <c r="J27" i="9"/>
  <c r="J26" i="9"/>
  <c r="J25" i="9"/>
  <c r="J24" i="9"/>
  <c r="K24" i="9" l="1"/>
  <c r="N24" i="9"/>
  <c r="K25" i="9"/>
  <c r="N25" i="9"/>
  <c r="K26" i="9"/>
  <c r="N26" i="9"/>
  <c r="K27" i="9"/>
  <c r="N27" i="9"/>
  <c r="K28" i="9"/>
  <c r="N28" i="9"/>
  <c r="K29" i="9"/>
  <c r="N29" i="9"/>
  <c r="K30" i="9"/>
  <c r="N30" i="9"/>
  <c r="K31" i="9"/>
  <c r="N31" i="9"/>
  <c r="K32" i="9"/>
  <c r="N32" i="9"/>
  <c r="F5" i="3"/>
  <c r="G5" i="3" s="1"/>
  <c r="H5" i="3" s="1"/>
  <c r="F4" i="3"/>
  <c r="G4" i="3" s="1"/>
  <c r="H4" i="3" s="1"/>
  <c r="F3" i="3"/>
  <c r="G3" i="3" s="1"/>
  <c r="H3" i="3" s="1"/>
  <c r="H3" i="9" l="1"/>
  <c r="J2" i="9" l="1"/>
  <c r="J3" i="9" l="1"/>
  <c r="J4" i="9"/>
  <c r="J5" i="9"/>
  <c r="J6" i="9"/>
  <c r="J7" i="9"/>
  <c r="J8" i="9"/>
  <c r="J9" i="9"/>
  <c r="N9" i="9" s="1"/>
  <c r="J10" i="9"/>
  <c r="J11" i="9"/>
  <c r="J12" i="9"/>
  <c r="J13" i="9"/>
  <c r="J21" i="9"/>
  <c r="J22" i="9"/>
  <c r="N22" i="9" s="1"/>
  <c r="J23" i="9"/>
  <c r="H2" i="9"/>
  <c r="K23" i="9" l="1"/>
  <c r="N23" i="9"/>
  <c r="K21" i="9"/>
  <c r="N21" i="9"/>
  <c r="K13" i="9"/>
  <c r="N13" i="9"/>
  <c r="K12" i="9"/>
  <c r="N12" i="9"/>
  <c r="K11" i="9"/>
  <c r="N11" i="9"/>
  <c r="K10" i="9"/>
  <c r="N10" i="9"/>
  <c r="K8" i="9"/>
  <c r="N8" i="9"/>
  <c r="K7" i="9"/>
  <c r="N7" i="9"/>
  <c r="K6" i="9"/>
  <c r="N6" i="9"/>
  <c r="K5" i="9"/>
  <c r="N5" i="9"/>
  <c r="K3" i="9"/>
  <c r="N3" i="9"/>
  <c r="K2" i="9"/>
  <c r="N2" i="9"/>
  <c r="K9" i="9"/>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N4" i="9" s="1"/>
  <c r="K4" i="9" l="1"/>
</calcChain>
</file>

<file path=xl/sharedStrings.xml><?xml version="1.0" encoding="utf-8"?>
<sst xmlns="http://schemas.openxmlformats.org/spreadsheetml/2006/main" count="1540" uniqueCount="518">
  <si>
    <t>Data Dictionary</t>
  </si>
  <si>
    <t>Version: 0.86</t>
  </si>
  <si>
    <t>Version control</t>
  </si>
  <si>
    <t>Version</t>
  </si>
  <si>
    <t>Date</t>
  </si>
  <si>
    <t>Authors</t>
  </si>
  <si>
    <t>Most important changes</t>
  </si>
  <si>
    <t>0.1</t>
  </si>
  <si>
    <t>-Deepal Rathod</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</si>
  <si>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</si>
  <si>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</si>
  <si>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</si>
  <si>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</si>
  <si>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</si>
  <si>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</si>
  <si>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</si>
  <si>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</si>
  <si>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</si>
  <si>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</si>
  <si>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</si>
  <si>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</si>
  <si>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</si>
  <si>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</si>
  <si>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</si>
  <si>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</si>
  <si>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</si>
  <si>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</si>
  <si>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</si>
  <si>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</si>
  <si>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</si>
  <si>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</si>
  <si>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</si>
  <si>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</si>
  <si>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</si>
  <si>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</si>
  <si>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</si>
  <si>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</si>
  <si>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</si>
  <si>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</si>
  <si>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</si>
  <si>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</si>
  <si>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</si>
  <si>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</si>
  <si>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</si>
  <si>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</si>
  <si>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</si>
  <si>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</si>
  <si>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</si>
  <si>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</si>
  <si>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</si>
  <si>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</si>
  <si>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</si>
  <si>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</si>
  <si>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</si>
  <si>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</si>
  <si>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</si>
  <si>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</si>
  <si>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</si>
  <si>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</si>
  <si>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</si>
  <si>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</si>
  <si>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</si>
  <si>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</si>
  <si>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</si>
  <si>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</si>
  <si>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</si>
  <si>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</si>
  <si>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</si>
  <si>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</si>
  <si>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</si>
  <si>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</si>
  <si>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</si>
  <si>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</si>
  <si>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</si>
  <si>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</si>
  <si>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</si>
  <si>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</si>
  <si>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</si>
  <si>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</si>
  <si>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</si>
  <si>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</si>
  <si>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</si>
  <si>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</si>
  <si>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</si>
  <si>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</si>
  <si>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</si>
  <si>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</si>
  <si>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</si>
  <si>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</si>
  <si>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</si>
  <si>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</si>
  <si>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</si>
  <si>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</si>
  <si>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</si>
  <si>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</si>
  <si>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</si>
  <si>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</si>
  <si>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</si>
  <si>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</si>
  <si>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</si>
  <si>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</si>
  <si>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</si>
  <si>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</si>
  <si>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</si>
  <si>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</si>
  <si>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</si>
  <si>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</si>
  <si>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</si>
  <si>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</si>
  <si>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</si>
  <si>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</si>
  <si>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</si>
  <si>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</si>
  <si>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</si>
  <si>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</si>
  <si>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</si>
  <si>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</si>
  <si>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</si>
  <si>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Conceptual Data Model</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</si>
  <si>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</si>
  <si>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Beverage Production</t>
  </si>
  <si>
    <t>Includes the beverages, recipes, and consumption statistics.</t>
  </si>
  <si>
    <t>Coffee Machine</t>
  </si>
  <si>
    <t>Includes the machine identity, ownership, events, and configuration.</t>
  </si>
  <si>
    <t>Sales</t>
  </si>
  <si>
    <t>Includes distributors and end-customers.</t>
  </si>
  <si>
    <t>Product Asset Management</t>
  </si>
  <si>
    <t>Includes the management of built machines.</t>
  </si>
  <si>
    <t>Unique Domain Qualified Name</t>
  </si>
  <si>
    <t>Child entity qualified name2</t>
  </si>
  <si>
    <t>Parent entity Qualified name</t>
  </si>
  <si>
    <t>Parent entity Qualified Name2</t>
  </si>
  <si>
    <t>Parent entity Qualified Name3</t>
  </si>
  <si>
    <t>coffee-machine</t>
  </si>
  <si>
    <t>Machine events</t>
  </si>
  <si>
    <t>Yes</t>
  </si>
  <si>
    <t>No</t>
  </si>
  <si>
    <t>Logs and categorizes important messages or alerts from the machine, such as warnings or errors, that help monitor its performance and condition over time. The messages also include further details on the events and how these were handled.</t>
  </si>
  <si>
    <t>Machine state</t>
  </si>
  <si>
    <t>Provides a summary of the machine’s current and past state alerts. It also includes key details regarding the type and status of each state alert and overall statistics about past errors.</t>
  </si>
  <si>
    <t>Grinder control</t>
  </si>
  <si>
    <t>Machine configuration</t>
  </si>
  <si>
    <t>Describes how each grinder in the coffee machine is set up and connected to its brewer. It includes where the grinder is located, what type of ingredient it uses (like fresh ground coffee), when it was last calibrated and how it’s identified within the system.</t>
  </si>
  <si>
    <t>Machine recipe</t>
  </si>
  <si>
    <t>Stores the predefined beverage recipes used by the coffee machine to prepare drinks. These recipes are managed exclusively by Bravilor and cannot be modified by end customers or distributors. Each recipe defines how a drink is made at a specific location, including details such as ingredient types, water quantity and cup size translations. Also includes the version of the machine recipe.</t>
  </si>
  <si>
    <t>beverage-production</t>
  </si>
  <si>
    <t>Customized beverage</t>
  </si>
  <si>
    <t>Represents a single consumption of a beverage at a machine at an end customer. It uses a unique beverage name that applies across all machines and distributors. This beverage is customised based on options like toppings, sugar level, coffee strength, and cup size (small, medium, or large).  This is the basis for aggregated consumptions.</t>
  </si>
  <si>
    <t>Consumption records</t>
  </si>
  <si>
    <t>Tracks how many customized beverages the machine has brewed, broken down by cup size (small, medium, large). These counts are summarised daily to support reporting and analysis.</t>
  </si>
  <si>
    <t>sales</t>
  </si>
  <si>
    <t>End customer</t>
  </si>
  <si>
    <t>Name of the end customer, referring to the owner of the machine.</t>
  </si>
  <si>
    <t>Canister control</t>
  </si>
  <si>
    <r>
      <rPr>
        <sz val="11"/>
        <color rgb="FF000000"/>
        <rFont val="Aptos Narrow"/>
      </rPr>
      <t>Describes how each ingredient canister</t>
    </r>
    <r>
      <rPr>
        <sz val="11"/>
        <color rgb="FFFF0000"/>
        <rFont val="Aptos Narrow"/>
      </rPr>
      <t xml:space="preserve"> </t>
    </r>
    <r>
      <rPr>
        <sz val="11"/>
        <color rgb="FF000000"/>
        <rFont val="Aptos Narrow"/>
      </rPr>
      <t>in the coffee machine is set up and connected. It includes information such as where the canister is located, what ingredient it holds, when it was last calibrated, how it connects to the mixer and how it’s identified within the system for tracking and control.</t>
    </r>
  </si>
  <si>
    <t>Machine</t>
  </si>
  <si>
    <t>Provides key information used to identify and manage each coffee machine, such as its unique ID, location, customer-assigned reference and the date it was linked to the end customer. Distributor and customer ID are included as well. Additionally, it includes user-defined tags and mobile data usage details to support tracking and service operations.</t>
  </si>
  <si>
    <t xml:space="preserve">The configuration of machine components such as canisters, grinders, and mixers. </t>
  </si>
  <si>
    <t>product-asset-management</t>
  </si>
  <si>
    <t>Recipe update</t>
  </si>
  <si>
    <t xml:space="preserve">Captures relevant data associated with the modification/update of a recipe in a coffee machine. This entity includes identifiers, versioning details, artifact specifications, delivery status and contextual notes. </t>
  </si>
  <si>
    <t>Unique entity qualified name</t>
  </si>
  <si>
    <t>Clean attribute name</t>
  </si>
  <si>
    <t>Data attribute qualified name</t>
  </si>
  <si>
    <t>beverage-production--customized-beverage</t>
  </si>
  <si>
    <t>beverage name</t>
  </si>
  <si>
    <t>The unique name of the drink type, which must be distinct across all machines and distributors. It means that each beverage name must be globally unique, not just within a single machine or distributor. E.g., coffee-freshground, caffe-latte-freshground</t>
  </si>
  <si>
    <t>Text</t>
  </si>
  <si>
    <t>volume</t>
  </si>
  <si>
    <t>The drink size selected by the customer on the machine. Available options are: small, medium and large.</t>
  </si>
  <si>
    <t>coffee-machine--machine-configuration--machine-recipe</t>
  </si>
  <si>
    <t>ml</t>
  </si>
  <si>
    <t>The volume of the prepared drink, measured in milliliters. E.g., 120</t>
  </si>
  <si>
    <t>Numeric</t>
  </si>
  <si>
    <t>strength</t>
  </si>
  <si>
    <t>The strength level of the brewed coffee, represented numerically on a scale from 0 to 2, where 0 is mild, 1 is regular and 2 is strong. (guess)</t>
  </si>
  <si>
    <t>estimated brewing time</t>
  </si>
  <si>
    <t>The estimated duration required to brew the beverage, measured in seconds. E.g., 37.16</t>
  </si>
  <si>
    <t>sugar</t>
  </si>
  <si>
    <t>The amount of sugar added to the drink, represented on a scale from 0 (least) to 2 (most). If this attribute is missing, no sugar is added.</t>
  </si>
  <si>
    <t>topping</t>
  </si>
  <si>
    <t>The amount of topping added to the drink, represented on a scale from 0 (least) to 2 (most). If this attribute is missing, no topping is added.</t>
  </si>
  <si>
    <t>beverage-production--consumption-records</t>
  </si>
  <si>
    <t>small</t>
  </si>
  <si>
    <t>The total number of small-sized beverages prepared by the machine within a single day.</t>
  </si>
  <si>
    <t>medium</t>
  </si>
  <si>
    <t>The total number of medium-sized beverages prepared by the machine within a single day.</t>
  </si>
  <si>
    <t xml:space="preserve">large </t>
  </si>
  <si>
    <t>The total number of large-sized beverages prepared by the machine within a single day.</t>
  </si>
  <si>
    <t>total consumption</t>
  </si>
  <si>
    <t>The total number of beverages prepared by the machine within a single day. This is the sum of small, medium and large consumptions.</t>
  </si>
  <si>
    <t>coffee-machine--machine-events</t>
  </si>
  <si>
    <t>active notifications</t>
  </si>
  <si>
    <t>A list of notifications that are currently active on the machine, typically indicating issues, warnings or system messages that require attention.</t>
  </si>
  <si>
    <t>Array</t>
  </si>
  <si>
    <t>coffee-machine--machine-state</t>
  </si>
  <si>
    <t>latched notifications</t>
  </si>
  <si>
    <t>A list of notifications that were previously active but have been resolved or acknowledged by the user.</t>
  </si>
  <si>
    <t>event ID</t>
  </si>
  <si>
    <t>The unique ID for every machine event.</t>
  </si>
  <si>
    <t>action</t>
  </si>
  <si>
    <t>The type of response or handling applied to a machine event, such as acknowledging, dismissing or resolving a notification.</t>
  </si>
  <si>
    <t>notification metadata</t>
  </si>
  <si>
    <t>Additional parameters associated with a notification, such as its unique identifier (uid) if applicable (does this mean that there are notifications withou uid?)</t>
  </si>
  <si>
    <t>procedure name</t>
  </si>
  <si>
    <t xml:space="preserve">The name of the procedure. </t>
  </si>
  <si>
    <t>estimated procedure time</t>
  </si>
  <si>
    <t>The estimated time of the procedure from start to finish.</t>
  </si>
  <si>
    <t>wait</t>
  </si>
  <si>
    <t>The duration of time that a procedure spends waiting before execution, due to scheduling, dependency or communication delays.</t>
  </si>
  <si>
    <t>coffee-machine--machine-configuration--grinder-control</t>
  </si>
  <si>
    <t>grinder channel ID</t>
  </si>
  <si>
    <t>The MQTT topic channel ID associated with the grinder.</t>
  </si>
  <si>
    <t>grinder calibration date</t>
  </si>
  <si>
    <t>The date on which the grinder was last calibrated.</t>
  </si>
  <si>
    <t>grinder ingredient ID</t>
  </si>
  <si>
    <t>The unique identifier of the ingredient currently loaded in the grinder, e.g., freshground</t>
  </si>
  <si>
    <t>component mapping</t>
  </si>
  <si>
    <t>The identifier of the component to which this item is linked. For example, a grinder may be mapped to a brewer, indicating their operational relationship.</t>
  </si>
  <si>
    <t>grinder position number</t>
  </si>
  <si>
    <t>The physical position of the grinder within the coffee machine, numbered from left to right as viewed from the front. The numbering starts at 0.</t>
  </si>
  <si>
    <t>grinder label</t>
  </si>
  <si>
    <t>The ID of the grinder used for linking within the CoffeeController.</t>
  </si>
  <si>
    <t>coffee-machine--machine-configuration--canister-control</t>
  </si>
  <si>
    <t>canister channel ID</t>
  </si>
  <si>
    <t>The channel ID used for the related MQTT topic, enabling communication with the canister control.</t>
  </si>
  <si>
    <t>canister calibration date</t>
  </si>
  <si>
    <t>The date on which the canister was last calibrated.</t>
  </si>
  <si>
    <t>canister ingredient ID</t>
  </si>
  <si>
    <t>The unique identifier of the ingredient currently loaded in the canister, e.g., topping, cacao</t>
  </si>
  <si>
    <t>mixer mapping</t>
  </si>
  <si>
    <t>The ID of the mixer where the canister deposites the ingredient for mixing into a beverage.</t>
  </si>
  <si>
    <t>canister position number</t>
  </si>
  <si>
    <t>The physical position of the canister within the coffee machine, numbered from left to right as viewed from the front. The numbering starts at 0.</t>
  </si>
  <si>
    <t>canister outlet</t>
  </si>
  <si>
    <t>The type of outlet used in the control of the canister, which can be center (dispensing straight down), left or right.</t>
  </si>
  <si>
    <t>canister type</t>
  </si>
  <si>
    <t>The size of the canister.</t>
  </si>
  <si>
    <t>canister label</t>
  </si>
  <si>
    <t>The ID of the canister used for linking within the coffeecontroller.</t>
  </si>
  <si>
    <t>coffee-machine--machine-configuration</t>
  </si>
  <si>
    <t>beverage ID Bravilor</t>
  </si>
  <si>
    <t>The ID of the beverage associated with each recipe available in the machine. These IDs are managed exclusively by Bravilor and cannot be modified by others.</t>
  </si>
  <si>
    <t>beverage ID</t>
  </si>
  <si>
    <t>The ID of the beverage associated with each recipe available in the machine.  The list includes only recipes that are selectable by the user.</t>
  </si>
  <si>
    <t>master state</t>
  </si>
  <si>
    <t>The current main status of the machine, e.g., error, power_on.</t>
  </si>
  <si>
    <t>additional state info</t>
  </si>
  <si>
    <t>Supplementary information about the current state of the machine. Examples for the normal master state include service, operation, dispense and idle.</t>
  </si>
  <si>
    <t>sales--end-customer</t>
  </si>
  <si>
    <t>end customer name</t>
  </si>
  <si>
    <t>The name of the end customer (owner of the machine).</t>
  </si>
  <si>
    <t>coffee-machine--machine</t>
  </si>
  <si>
    <t>machine location</t>
  </si>
  <si>
    <t>The ID of the selected location of the machine chosen by the end customer.</t>
  </si>
  <si>
    <t>machine name</t>
  </si>
  <si>
    <t>The machine ID in a format that is easy for humans to understand and use, e.g., Freshbrew #88, Freshbrew #56</t>
  </si>
  <si>
    <t>consumption record timestamp</t>
  </si>
  <si>
    <t>The exact time when a drink was prepeared(?). You can search for records by year, but only for the past two years.</t>
  </si>
  <si>
    <t>event name</t>
  </si>
  <si>
    <t>The descriptive name assigned to an event type, e.g, error, warning, info.</t>
  </si>
  <si>
    <t>filtering tags</t>
  </si>
  <si>
    <t>User-defined labels applied to machines for filtering purposes such as “malfunction”, “priority” or “teacher’s role”.</t>
  </si>
  <si>
    <t>sorting tags</t>
  </si>
  <si>
    <t>User-defined labels used to sort machines via dropdown filters. These tags help organise machine lists by criteria like priority or operational status.</t>
  </si>
  <si>
    <t>serial number</t>
  </si>
  <si>
    <t>The serial number of the machine.</t>
  </si>
  <si>
    <t>event title</t>
  </si>
  <si>
    <t>The title of the event describing the current error or maintenance needed.</t>
  </si>
  <si>
    <t>total error count</t>
  </si>
  <si>
    <t>The total number of errors for the corresponding coffee machine.</t>
  </si>
  <si>
    <t>monthly error count</t>
  </si>
  <si>
    <t>The number of error events that were recorded each month, based on their date, for the corresponding coffee machine.</t>
  </si>
  <si>
    <t>beverage count</t>
  </si>
  <si>
    <t>The number of beverages prepared on the current month by the machine. The month is determined based on the time settings configured on the server.</t>
  </si>
  <si>
    <t>customized beverage count</t>
  </si>
  <si>
    <t>In the DD another, conflicting, description is also provided: % change in monthly consumption vs previous period</t>
  </si>
  <si>
    <t>event type</t>
  </si>
  <si>
    <t>The machine’s internal categorisation of an event, used for filtering purposes, e.g., error, maintenance.</t>
  </si>
  <si>
    <t>event status</t>
  </si>
  <si>
    <t>Indicates the temporal state of an event. Possible values are: open, upcoming, past.</t>
  </si>
  <si>
    <t>machine customer ID</t>
  </si>
  <si>
    <t>The ID of the machine assigned by the owner. Which is a dealer or distributer in most cases.</t>
  </si>
  <si>
    <t>mobile data usage</t>
  </si>
  <si>
    <t>The SIM-based data usage of a machine, retrieved daily from the provider’s API and stored in the database. The value reflects the amount of data consumed in gigabytes.</t>
  </si>
  <si>
    <t>pairing date</t>
  </si>
  <si>
    <t>The date when the machine was first connected to ethernet/WiFi by the end customer.</t>
  </si>
  <si>
    <t>machine ID</t>
  </si>
  <si>
    <t>The unique ID of the coffee machine​.</t>
  </si>
  <si>
    <t>distributor ID</t>
  </si>
  <si>
    <t>The unique ID of the tenant/distributor responsible for the coffee machine.</t>
  </si>
  <si>
    <t>event storage time</t>
  </si>
  <si>
    <t>The timestamp indicating when an event was stored in the system.</t>
  </si>
  <si>
    <t>event occurrence time</t>
  </si>
  <si>
    <t>The timestamp indicating when the event actually occurred on the machine.</t>
  </si>
  <si>
    <t>hourly beverage count</t>
  </si>
  <si>
    <t>The number of beverages prepared by the machine within a given hour.</t>
  </si>
  <si>
    <t>hour start time</t>
  </si>
  <si>
    <t>Represents the start time of the hour during which the event occurred or was recorded, e.g. 10:00:00.</t>
  </si>
  <si>
    <t>aggregation time</t>
  </si>
  <si>
    <t>The time at which the data aggregation was computed.</t>
  </si>
  <si>
    <t>product-asset-management--recipe-update</t>
  </si>
  <si>
    <t>update notification ID</t>
  </si>
  <si>
    <t>The unique identifier of an update notification.</t>
  </si>
  <si>
    <t>notification sent time</t>
  </si>
  <si>
    <t>The timestamp indicating when the recipe update notification was sent to the coffee machine.</t>
  </si>
  <si>
    <t>recipe ID</t>
  </si>
  <si>
    <t>The ID of the recipe that is targeted for an update.</t>
  </si>
  <si>
    <t>recipe target version</t>
  </si>
  <si>
    <t>The version of the recipe that the update notification is intended to deploy.</t>
  </si>
  <si>
    <t>update artifact location</t>
  </si>
  <si>
    <t>The location or path where the update artifact (such as a software package, configuration file, or recipe) is stored and can be retrieved.</t>
  </si>
  <si>
    <t>update artifact checksum</t>
  </si>
  <si>
    <t>The SHA-256 cryptographic hash of the update artifact file. This attribute is used to verify the integrity and authenticity of the artifact during deployment, ensuring that the file has not been altered or corrupted.</t>
  </si>
  <si>
    <t>update artifact size</t>
  </si>
  <si>
    <t xml:space="preserve">The total size of the update artifact file, measured in bytes. </t>
  </si>
  <si>
    <t xml:space="preserve">update mandatory </t>
  </si>
  <si>
    <t>Indicates whether the update must be applied without user discretion. A value of true signifies that the update is required and false allows optional installation.</t>
  </si>
  <si>
    <t>update notes</t>
  </si>
  <si>
    <t>Provides human-readable context or commentary about the update, such as purpose, changes introduced, or special instructions</t>
  </si>
  <si>
    <t>Intermediate Qualified System Name</t>
  </si>
  <si>
    <t>Collection Intermediate Qualified Name</t>
  </si>
  <si>
    <t>Dataset Intermediate Qualified Name</t>
  </si>
  <si>
    <t>Intermediate Physical Qualified Name</t>
  </si>
  <si>
    <t>Field Intermediate Qualified Name</t>
  </si>
  <si>
    <t>beverage-production--customized-beverage--beverage-name</t>
  </si>
  <si>
    <t>MQTT</t>
  </si>
  <si>
    <t>order</t>
  </si>
  <si>
    <t>beverage</t>
  </si>
  <si>
    <t>beverage-production--customized-beverage--volume</t>
  </si>
  <si>
    <t>coffee-machine--machine-configuration--machine-recipe--ml</t>
  </si>
  <si>
    <t>beverage-production--customized-beverage--strength</t>
  </si>
  <si>
    <t>beverage-production--customized-beverage--estimated-brewing-time</t>
  </si>
  <si>
    <t>etc</t>
  </si>
  <si>
    <t>beverage-production--customized-beverage--sugar</t>
  </si>
  <si>
    <t>beverage-production--customized-beverage--topping</t>
  </si>
  <si>
    <t>totalconsumptions</t>
  </si>
  <si>
    <t>name</t>
  </si>
  <si>
    <t>beverage-production--consumption-records--small</t>
  </si>
  <si>
    <t>beverage-production--consumption-records--medium</t>
  </si>
  <si>
    <t>beverage-production--consumption-records--large</t>
  </si>
  <si>
    <t>large</t>
  </si>
  <si>
    <t>beverage-production--consumption-records--total-consumption</t>
  </si>
  <si>
    <t>total</t>
  </si>
  <si>
    <t>coffee-machine--machine-events--active-notifications</t>
  </si>
  <si>
    <t>messages</t>
  </si>
  <si>
    <t>active</t>
  </si>
  <si>
    <t>coffee-machine--machine-state--latched-notifications</t>
  </si>
  <si>
    <t>latched</t>
  </si>
  <si>
    <t>coffee-machine--machine-events--event-id</t>
  </si>
  <si>
    <t>id</t>
  </si>
  <si>
    <t>coffee-machine--machine-events--action</t>
  </si>
  <si>
    <t>coffee-machine--machine-events--notification-metadata</t>
  </si>
  <si>
    <t>metadata</t>
  </si>
  <si>
    <t>coffee-machine--machine-configuration--machine-recipe--procedure-name</t>
  </si>
  <si>
    <t>procedure</t>
  </si>
  <si>
    <t>coffee-machine--machine-configuration--machine-recipe--estimated-procedure-time</t>
  </si>
  <si>
    <t>coffee-machine--machine-configuration--machine-recipe--wait</t>
  </si>
  <si>
    <t>coffee-machine--machine-configuration--grinder-control--grinder-channel-id</t>
  </si>
  <si>
    <t>machine-grinder</t>
  </si>
  <si>
    <t>channel</t>
  </si>
  <si>
    <t>coffee-machine--machine-configuration--grinder-control--grinder-calibration-date</t>
  </si>
  <si>
    <t>date</t>
  </si>
  <si>
    <t>coffee-machine--machine-configuration--grinder-control--grinder-ingredient-id</t>
  </si>
  <si>
    <t>ingredient</t>
  </si>
  <si>
    <t>coffee-machine--machine-configuration--grinder-control--component-mapping</t>
  </si>
  <si>
    <t>mapping</t>
  </si>
  <si>
    <t>coffee-machine--machine-configuration--grinder-control--grinder-position-number</t>
  </si>
  <si>
    <t>number</t>
  </si>
  <si>
    <t>coffee-machine--machine-configuration--grinder-control--grinder-label</t>
  </si>
  <si>
    <t>label</t>
  </si>
  <si>
    <t>coffee-machine--machine-configuration--canister-control--canister-channel-id</t>
  </si>
  <si>
    <t>machine-canister</t>
  </si>
  <si>
    <t>coffee-machine--machine-configuration--canister-control--canister-calibration-date</t>
  </si>
  <si>
    <t>coffee-machine--machine-configuration--canister-control--canister-ingredient-id</t>
  </si>
  <si>
    <t>coffee-machine--machine-configuration--canister-control--mixer-mapping</t>
  </si>
  <si>
    <t>coffee-machine--machine-configuration--canister-control--canister-outlet</t>
  </si>
  <si>
    <t>outlet</t>
  </si>
  <si>
    <t>coffee-machine--machine-configuration--canister-control--canister-type</t>
  </si>
  <si>
    <t>type</t>
  </si>
  <si>
    <t>coffee-machine--machine-configuration--canister-control--canister-label</t>
  </si>
  <si>
    <t>coffee-machine--machine-configuration--beverage-id-bravilor</t>
  </si>
  <si>
    <t>machine-recipe</t>
  </si>
  <si>
    <t>coffee-machine--machine-configuration--beverage-id</t>
  </si>
  <si>
    <t>machine-beverage</t>
  </si>
  <si>
    <t>coffee-machine--machine-state--master-state</t>
  </si>
  <si>
    <t>machine-state</t>
  </si>
  <si>
    <t>master</t>
  </si>
  <si>
    <t>coffee-machine--machine-state--additional-state-info</t>
  </si>
  <si>
    <t>state</t>
  </si>
  <si>
    <t>sales--end-customer--end-customer-name</t>
  </si>
  <si>
    <t>Database</t>
  </si>
  <si>
    <t>Relational Database</t>
  </si>
  <si>
    <t>User table</t>
  </si>
  <si>
    <t>Beverage table</t>
  </si>
  <si>
    <t>coffee-machine--machine--machine-location</t>
  </si>
  <si>
    <t>Machine table</t>
  </si>
  <si>
    <t>location</t>
  </si>
  <si>
    <t>coffee-machine--machine--machine-name</t>
  </si>
  <si>
    <t>Name</t>
  </si>
  <si>
    <t>coffee-machine--machine--filtering-tags</t>
  </si>
  <si>
    <t>Machine_tag table</t>
  </si>
  <si>
    <t>tag</t>
  </si>
  <si>
    <t>beverage-production--consumption-records--consumption-record-timestamp</t>
  </si>
  <si>
    <t>Object database</t>
  </si>
  <si>
    <t>OrderContainer</t>
  </si>
  <si>
    <t>timestamp</t>
  </si>
  <si>
    <t>coffee-machine--machine-events--event-name</t>
  </si>
  <si>
    <t>Relational database</t>
  </si>
  <si>
    <t>EventType</t>
  </si>
  <si>
    <t>tags</t>
  </si>
  <si>
    <t>coffee-machine--machine--sorting-tags</t>
  </si>
  <si>
    <t>MachineTag table</t>
  </si>
  <si>
    <t>coffee-machine--machine--serial-number</t>
  </si>
  <si>
    <t>serial</t>
  </si>
  <si>
    <t>coffee-machine--machine-events--event-title</t>
  </si>
  <si>
    <t>Event table</t>
  </si>
  <si>
    <t>Title</t>
  </si>
  <si>
    <t>coffee-machine--machine-state--total-error-count</t>
  </si>
  <si>
    <t>machineevent table</t>
  </si>
  <si>
    <t>count()</t>
  </si>
  <si>
    <t>coffee-machine--machine-state--monthly-error-count</t>
  </si>
  <si>
    <t>beverage-production--consumption-records--beverage-count</t>
  </si>
  <si>
    <t>beverage-production--consumption-records--customized-beverage-count</t>
  </si>
  <si>
    <t>coffee-machine--machine-state--event-type</t>
  </si>
  <si>
    <t>event table</t>
  </si>
  <si>
    <t>coffee-machine--machine-state--event-status</t>
  </si>
  <si>
    <t>EventStatus</t>
  </si>
  <si>
    <t>coffee-machine--machine--machine-customer-id</t>
  </si>
  <si>
    <t>CustomerId</t>
  </si>
  <si>
    <t>coffee-machine--machine--mobile-data-usage</t>
  </si>
  <si>
    <t>MobileDataUsage</t>
  </si>
  <si>
    <t>coffee-machine--machine--pairing-date</t>
  </si>
  <si>
    <t>PairingDate</t>
  </si>
  <si>
    <t>coffee-machine--machine--machine-id</t>
  </si>
  <si>
    <t>Timeseries Database</t>
  </si>
  <si>
    <t>machine_data</t>
  </si>
  <si>
    <t>coffee_machine_events</t>
  </si>
  <si>
    <t>machine_id​</t>
  </si>
  <si>
    <t>coffee-machine--machine--distributor-id</t>
  </si>
  <si>
    <t>distributor_id​</t>
  </si>
  <si>
    <t>order_beverage​</t>
  </si>
  <si>
    <t>order_volume​</t>
  </si>
  <si>
    <t>order_ml​</t>
  </si>
  <si>
    <t>order_strength​</t>
  </si>
  <si>
    <t>order_etc​</t>
  </si>
  <si>
    <t>order_sugar</t>
  </si>
  <si>
    <t>order_topping​</t>
  </si>
  <si>
    <t>​event_id​</t>
  </si>
  <si>
    <t>coffee-machine--machine-events--event-storage-time</t>
  </si>
  <si>
    <t>default_timestamp</t>
  </si>
  <si>
    <t>coffee-machine--machine-events--event-occurrence-time</t>
  </si>
  <si>
    <t>occurred_at​</t>
  </si>
  <si>
    <t>Consumption table</t>
  </si>
  <si>
    <t>beverage-production--consumption-records--hourly-beverage-count</t>
  </si>
  <si>
    <t>quantity</t>
  </si>
  <si>
    <t>coffee-machine--machine-events--hour-start-time</t>
  </si>
  <si>
    <t>timestamp_hour​</t>
  </si>
  <si>
    <t>beverage-production--consumption-records--aggregation-time</t>
  </si>
  <si>
    <t>aggregated_at​</t>
  </si>
  <si>
    <t>product-asset-management--recipe-update--update-notification-id</t>
  </si>
  <si>
    <t>Recipe update notification</t>
  </si>
  <si>
    <t>notification_id</t>
  </si>
  <si>
    <t>product-asset-management--recipe-update--notification-sent-time</t>
  </si>
  <si>
    <t>sent_at</t>
  </si>
  <si>
    <t>distributor_id</t>
  </si>
  <si>
    <t>machine_id</t>
  </si>
  <si>
    <t>coffee-machine--machine-configuration--machine-recipe--recipe-id</t>
  </si>
  <si>
    <t>recipe_id</t>
  </si>
  <si>
    <t>product-asset-management--recipe-update--recipe-target-version</t>
  </si>
  <si>
    <t>target_version</t>
  </si>
  <si>
    <t>product-asset-management--recipe-update--update-artifact-location</t>
  </si>
  <si>
    <t>artifact_uri</t>
  </si>
  <si>
    <t>product-asset-management--recipe-update--update-artifact-checksum</t>
  </si>
  <si>
    <t>artifact_sha256</t>
  </si>
  <si>
    <t>product-asset-management--recipe-update--update-artifact-size</t>
  </si>
  <si>
    <t>size_bytes</t>
  </si>
  <si>
    <t>product-asset-management--recipe-update--update-mandatory</t>
  </si>
  <si>
    <t>mandatory</t>
  </si>
  <si>
    <t>product-asset-management--recipe-update--update-notes</t>
  </si>
  <si>
    <t>notes</t>
  </si>
  <si>
    <t>Kafka Cluster</t>
  </si>
  <si>
    <t>Recipe Notification Topic</t>
  </si>
  <si>
    <t>Beverage Event Topic</t>
  </si>
  <si>
    <t>Beverage event</t>
  </si>
  <si>
    <t>event_id</t>
  </si>
  <si>
    <t>Content Structure Intermediate Qualified Name</t>
  </si>
  <si>
    <t>System</t>
  </si>
  <si>
    <t>Data Collection</t>
  </si>
  <si>
    <t>Dataset</t>
  </si>
  <si>
    <t>Content structure Qualified Name</t>
  </si>
  <si>
    <t>Deleted Domain Qualified Name</t>
  </si>
  <si>
    <t>Deleted Entity Qualified Name</t>
  </si>
  <si>
    <t>Deleted Attribute Qualified Name</t>
  </si>
  <si>
    <t>Deleted Field Attribute Qualified Name</t>
  </si>
  <si>
    <t>System Intermediate Qualified Name</t>
  </si>
  <si>
    <t>Process Name</t>
  </si>
  <si>
    <t>Process Intermediate Qualified Name</t>
  </si>
  <si>
    <t>Process Qualified Name</t>
  </si>
  <si>
    <t>Input 1</t>
  </si>
  <si>
    <t>Input 2</t>
  </si>
  <si>
    <t>Input 3</t>
  </si>
  <si>
    <t>Input 4</t>
  </si>
  <si>
    <t>Output 1</t>
  </si>
  <si>
    <t>Output 2</t>
  </si>
  <si>
    <t>Output 3</t>
  </si>
  <si>
    <t>Output 4</t>
  </si>
  <si>
    <t>Process Owner</t>
  </si>
  <si>
    <t>machine_controller</t>
  </si>
  <si>
    <t>machine_controller_beverage_counters_total</t>
  </si>
  <si>
    <t>machine_controller_notify</t>
  </si>
  <si>
    <t>machine_controller_procedure</t>
  </si>
  <si>
    <t>machine_controller_grinder</t>
  </si>
  <si>
    <t>machine_controller_canister</t>
  </si>
  <si>
    <t>machine_controller_recipe</t>
  </si>
  <si>
    <t>machine_controller_beverage</t>
  </si>
  <si>
    <t>machine_controller_state</t>
  </si>
  <si>
    <t>machine_info_serial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</si>
</sst>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rgb="FF000000"/>
      <name val="Aptos Narrow"/>
      <family val="2"/>
    </font>
    <font>
      <sz val="11"/>
      <color rgb="FF000000"/>
      <name val="Aptos Narrow"/>
    </font>
    <font>
      <sz val="11"/>
      <color rgb="FFFF0000"/>
      <name val="Aptos Narrow"/>
    </font>
    <font>
      <sz val="11"/>
      <color rgb="FF000000"/>
      <name val="Calibri"/>
      <family val="2"/>
      <scheme val="minor"/>
    </font>
    <font>
      <sz val="11"/>
      <color rgb="FF000000"/>
      <name val="Aptos Narrow"/>
      <charset val="1"/>
    </font>
  </fonts>
  <fills count="20">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33">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2">
    <xf numFmtId="0" fontId="0" fillId="0" borderId="0"/>
    <xf numFmtId="0" fontId="23" fillId="0" borderId="0" applyNumberFormat="0" applyFill="0" applyBorder="0" applyAlignment="0" applyProtection="0"/>
  </cellStyleXfs>
  <cellXfs count="149">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23" fillId="0" borderId="0" xfId="1"/>
    <xf numFmtId="0" fontId="0" fillId="0" borderId="29" xfId="0" applyBorder="1"/>
    <xf numFmtId="0" fontId="0" fillId="0" borderId="29" xfId="0" applyBorder="1" applyAlignment="1">
      <alignment horizontal="left"/>
    </xf>
    <xf numFmtId="0" fontId="23" fillId="0" borderId="1" xfId="1" applyBorder="1" applyAlignment="1">
      <alignment horizontal="left" vertical="top" wrapText="1"/>
    </xf>
    <xf numFmtId="0" fontId="0" fillId="2" borderId="0" xfId="0" applyFill="1" applyAlignment="1">
      <alignment vertical="top" wrapText="1"/>
    </xf>
    <xf numFmtId="0" fontId="0" fillId="13" borderId="11" xfId="0" applyFill="1" applyBorder="1" applyAlignment="1">
      <alignment vertical="top"/>
    </xf>
    <xf numFmtId="0" fontId="0" fillId="0" borderId="11" xfId="0" applyBorder="1"/>
    <xf numFmtId="0" fontId="0" fillId="0" borderId="11" xfId="0" applyBorder="1" applyAlignment="1">
      <alignment vertical="top"/>
    </xf>
    <xf numFmtId="0" fontId="0" fillId="13" borderId="11" xfId="0" applyFill="1" applyBorder="1" applyAlignment="1">
      <alignment wrapText="1"/>
    </xf>
    <xf numFmtId="0" fontId="24" fillId="13" borderId="11" xfId="0" applyFont="1" applyFill="1" applyBorder="1" applyAlignment="1">
      <alignment wrapText="1"/>
    </xf>
    <xf numFmtId="0" fontId="25" fillId="0" borderId="11" xfId="0" applyFont="1" applyBorder="1" applyAlignment="1">
      <alignment wrapText="1"/>
    </xf>
    <xf numFmtId="0" fontId="24" fillId="0" borderId="11" xfId="0" applyFont="1" applyBorder="1" applyAlignment="1">
      <alignment wrapText="1"/>
    </xf>
    <xf numFmtId="0" fontId="25" fillId="13" borderId="11" xfId="0" applyFont="1" applyFill="1" applyBorder="1" applyAlignment="1">
      <alignment wrapText="1"/>
    </xf>
    <xf numFmtId="0" fontId="27" fillId="13" borderId="11" xfId="0" applyFont="1" applyFill="1" applyBorder="1" applyAlignment="1">
      <alignment wrapText="1"/>
    </xf>
    <xf numFmtId="0" fontId="0" fillId="0" borderId="6" xfId="0" applyBorder="1" applyAlignment="1">
      <alignment vertical="top"/>
    </xf>
    <xf numFmtId="0" fontId="4" fillId="0" borderId="29" xfId="0" applyFont="1" applyBorder="1" applyAlignment="1">
      <alignment horizontal="left" vertical="top" wrapText="1"/>
    </xf>
    <xf numFmtId="0" fontId="4" fillId="0" borderId="30" xfId="0" applyFont="1" applyBorder="1" applyAlignment="1">
      <alignment horizontal="left" vertical="top" wrapText="1"/>
    </xf>
    <xf numFmtId="0" fontId="0" fillId="2" borderId="28" xfId="0" applyFill="1" applyBorder="1" applyAlignment="1">
      <alignment vertical="top"/>
    </xf>
    <xf numFmtId="0" fontId="2" fillId="0" borderId="31" xfId="0" applyFont="1" applyBorder="1" applyAlignment="1">
      <alignment horizontal="left" vertical="top" wrapText="1"/>
    </xf>
    <xf numFmtId="0" fontId="2" fillId="0" borderId="32" xfId="0" applyFont="1" applyBorder="1" applyAlignment="1">
      <alignment horizontal="left" vertical="top" wrapText="1"/>
    </xf>
    <xf numFmtId="0" fontId="25" fillId="15" borderId="0" xfId="0" applyFont="1" applyFill="1" applyAlignment="1">
      <alignment wrapText="1"/>
    </xf>
    <xf numFmtId="0" fontId="0" fillId="15" borderId="0" xfId="0" applyFill="1" applyAlignment="1">
      <alignment wrapText="1"/>
    </xf>
    <xf numFmtId="0" fontId="25" fillId="15" borderId="0" xfId="0" applyFont="1" applyFill="1"/>
    <xf numFmtId="0" fontId="0" fillId="15" borderId="0" xfId="0" applyFill="1" applyAlignment="1">
      <alignment vertical="top"/>
    </xf>
    <xf numFmtId="0" fontId="28" fillId="15" borderId="0" xfId="0" applyFont="1" applyFill="1"/>
    <xf numFmtId="0" fontId="25" fillId="16" borderId="0" xfId="0" applyFont="1" applyFill="1"/>
    <xf numFmtId="0" fontId="0" fillId="16" borderId="0" xfId="0" applyFill="1" applyAlignment="1">
      <alignment wrapText="1"/>
    </xf>
    <xf numFmtId="0" fontId="0" fillId="16" borderId="0" xfId="0" applyFill="1" applyAlignment="1">
      <alignment vertical="top"/>
    </xf>
    <xf numFmtId="0" fontId="25" fillId="16" borderId="0" xfId="0" applyFont="1" applyFill="1" applyAlignment="1">
      <alignment wrapText="1"/>
    </xf>
    <xf numFmtId="0" fontId="28" fillId="16" borderId="0" xfId="0" applyFont="1" applyFill="1"/>
    <xf numFmtId="0" fontId="0" fillId="17" borderId="0" xfId="0" applyFill="1" applyAlignment="1">
      <alignment vertical="top"/>
    </xf>
    <xf numFmtId="0" fontId="24" fillId="18" borderId="11" xfId="0" applyFont="1" applyFill="1" applyBorder="1"/>
    <xf numFmtId="0" fontId="24" fillId="19" borderId="11" xfId="0" applyFont="1" applyFill="1" applyBorder="1"/>
    <xf numFmtId="0" fontId="0" fillId="18" borderId="0" xfId="0" applyFill="1"/>
    <xf numFmtId="0" fontId="0" fillId="18" borderId="10" xfId="0" applyFill="1" applyBorder="1"/>
    <xf numFmtId="0" fontId="0" fillId="19" borderId="0" xfId="0" applyFill="1"/>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0" xfId="0" quotePrefix="1" applyFont="1" applyFill="1" applyAlignment="1">
      <alignment vertical="top" wrapText="1"/>
    </xf>
    <xf numFmtId="0" fontId="21" fillId="10" borderId="0" xfId="0" quotePrefix="1" applyFont="1" applyFill="1" applyAlignment="1">
      <alignment vertical="top"/>
    </xf>
    <xf numFmtId="0" fontId="19" fillId="10" borderId="0" xfId="0" applyFont="1" applyFill="1" applyAlignment="1">
      <alignment vertical="top"/>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4">
    <dxf>
      <fill>
        <patternFill>
          <bgColor theme="0" tint="-0.24994659260841701"/>
        </patternFill>
      </fill>
    </dxf>
    <dxf>
      <fill>
        <patternFill>
          <bgColor theme="0" tint="-0.24994659260841701"/>
        </patternFill>
      </fill>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331117" y="3286602"/>
          <a:ext cx="13109156" cy="5982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2"/>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5" totalsRowShown="0" headerRowDxfId="130" dataDxfId="129">
  <autoFilter ref="B1:F5" xr:uid="{77BEF923-0E84-4319-BE80-D92CC25459A2}"/>
  <tableColumns count="5">
    <tableColumn id="5" xr3:uid="{11B3A1DB-AB66-4648-ABA4-E86BEF7B486B}" name="ID" dataDxfId="128"/>
    <tableColumn id="1" xr3:uid="{760C961A-6C0B-480E-920E-A1E5679B257B}" name="Domain name" dataDxfId="127"/>
    <tableColumn id="2" xr3:uid="{27621B33-D617-479E-A693-BCD9361C8766}" name="Domain Qualified Name" dataDxfId="126">
      <calculatedColumnFormula>SUBSTITUTE(SUBSTITUTE(SUBSTITUTE(SUBSTITUTE(LOWER(C2),"&amp;",""),"-",""),"  ","-")," ","-")</calculatedColumnFormula>
    </tableColumn>
    <tableColumn id="4" xr3:uid="{D22E4325-3A2F-4A79-AEFB-C0B20EDAF848}" name="Definition" dataDxfId="125"/>
    <tableColumn id="3" xr3:uid="{6B1423F3-5FC8-44DE-B0EB-9EFB4A75D370}" name="Data Domain Lead" dataDxfId="1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12" totalsRowShown="0" headerRowDxfId="122" dataDxfId="121">
  <autoFilter ref="B1:P12" xr:uid="{EED484E7-34B3-4E9F-9934-BE196F1ED2DB}"/>
  <tableColumns count="15">
    <tableColumn id="11" xr3:uid="{0858CF24-0FCF-45FB-B58A-0CE747D08160}" name="ID" dataDxfId="120"/>
    <tableColumn id="1" xr3:uid="{85E6BEAF-3210-4B73-950F-B9D78F6AFAE8}" name="Data Domain" dataDxfId="119"/>
    <tableColumn id="2" xr3:uid="{EE30D4C6-851B-453B-A9E6-837F21E6DF85}" name="Unique Domain Qualified Name" dataDxfId="118">
      <calculatedColumnFormula>Table1[[#This Row],[Data Domain]]</calculatedColumnFormula>
    </tableColumn>
    <tableColumn id="12" xr3:uid="{183D6FBB-32A3-42F1-9840-83420C4A79BA}" name="Entity Qualified Name" dataDxfId="117">
      <calculatedColumnFormula>IF(Table1[[#This Row],[Has Parent]]="Yes",Table1[[#This Row],[Unique Domain Qualified Name]]&amp;"--"&amp;Table1[[#This Row],[Parent entity Qualified name]]&amp;"--"&amp;Table1[[#This Row],[Child entity qualified name2]],Table1[[#This Row],[Unique Domain Qualified Name]]&amp;"--"&amp;Table1[[#This Row],[Child entity qualified name2]])</calculatedColumnFormula>
    </tableColumn>
    <tableColumn id="5" xr3:uid="{17D21751-1CFA-4273-AE5B-9CCCFA323CF9}" name="Entity name" dataDxfId="116"/>
    <tableColumn id="6" xr3:uid="{2DFDA551-602D-495F-8678-9FE7BDED5B93}" name="Child entity qualified name2" dataDxfId="115">
      <calculatedColumnFormula>SUBSTITUTE(SUBSTITUTE(SUBSTITUTE(SUBSTITUTE(LOWER(F2),"&amp;",""),"-",""),"  ","-")," ","-")</calculatedColumnFormula>
    </tableColumn>
    <tableColumn id="17" xr3:uid="{8FEFC1A8-7843-4217-A892-649BB56FBB4A}" name="Direct Relation to Domain" dataDxfId="114"/>
    <tableColumn id="10" xr3:uid="{D2D9F642-4ED1-4281-8616-60D1BF069657}" name="Has Parent" dataDxfId="113"/>
    <tableColumn id="3" xr3:uid="{02B9F114-1D27-485E-AE86-7F2F64709DC8}" name="Parent entity name" dataDxfId="112"/>
    <tableColumn id="13" xr3:uid="{09A54DC7-CCBB-4C8C-BA19-DCAEA474BB5A}" name="Parent entity Qualified name" dataDxfId="111">
      <calculatedColumnFormula>IF(Table1[[#This Row],[Has Parent]]="Yes",LOWER(SUBSTITUTE(Table1[[#This Row],[Parent entity name]]," ","-")),"")</calculatedColumnFormula>
    </tableColumn>
    <tableColumn id="4" xr3:uid="{FCBF87D6-3A00-4E15-982F-A2967EECFC3F}" name="Parent entity Qualified Name2" dataDxfId="110"/>
    <tableColumn id="14" xr3:uid="{AC997321-D1E5-4442-B718-C7601434D9D3}" name="Parent entity Qualified Name3" dataDxfId="109"/>
    <tableColumn id="9" xr3:uid="{C856988D-56DC-4D2C-97C7-7D8F24466851}" name="Definition" dataDxfId="108"/>
    <tableColumn id="7" xr3:uid="{01C724AD-914C-4B66-8CCF-A0F51D14DFA2}" name="Business Data Owner" dataDxfId="107"/>
    <tableColumn id="8" xr3:uid="{1A160386-2E10-4338-9A72-0B2FCE78152B}" name="Business Data Steward" dataDxfId="1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72" totalsRowShown="0" headerRowDxfId="101" dataDxfId="100">
  <autoFilter ref="B1:O72" xr:uid="{4FD5616A-5629-4D4B-B5AE-EC7B7D90F6E8}"/>
  <tableColumns count="14">
    <tableColumn id="11" xr3:uid="{60DACB35-3011-4473-AEE9-71110FB9802A}" name="ID" dataDxfId="99"/>
    <tableColumn id="1" xr3:uid="{1D98DB5D-84D0-4E71-8E73-F2356D1A44B5}" name="Entity Name" dataDxfId="98"/>
    <tableColumn id="7" xr3:uid="{6657B562-460F-4A49-894E-6BAEA117B0EE}" name="Unique entity qualified name" dataDxfId="97"/>
    <tableColumn id="2" xr3:uid="{91D47C4A-373E-412C-8163-3C197BB64EFB}" name="Attribute Name" dataDxfId="96"/>
    <tableColumn id="9" xr3:uid="{97153AB9-40F9-44AE-B4DF-C574201C2A71}" name="Clean attribute name" dataDxfId="95">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4">
      <calculatedColumnFormula>SUBSTITUTE(SUBSTITUTE(SUBSTITUTE(SUBSTITUTE(LOWER(F2),"&amp;",""),"-",""),"  ","-")," ","-")</calculatedColumnFormula>
    </tableColumn>
    <tableColumn id="3" xr3:uid="{0BAA9EA4-C1C6-4870-AC8C-1E154B7B5B3F}" name="Attribute Qualified Name" dataDxfId="93">
      <calculatedColumnFormula>IF(Table3[[#This Row],[Unique entity qualified name]]&lt;&gt;"",Table3[[#This Row],[Unique entity qualified name]]&amp;"--"&amp;Table3[[#This Row],[Data attribute qualified name]],"")</calculatedColumnFormula>
    </tableColumn>
    <tableColumn id="6" xr3:uid="{C41136C5-1D75-41EB-8A6E-AEA645554009}" name="Definition" dataDxfId="92"/>
    <tableColumn id="13" xr3:uid="{18693B58-C502-4EE0-A78A-0545DEA8BDA6}" name="Data Type" dataDxfId="91"/>
    <tableColumn id="14" xr3:uid="{7352F136-E93F-4AA0-97A0-5B237E242CAC}" name="Has PII" dataDxfId="90"/>
    <tableColumn id="15" xr3:uid="{86809FFD-BE26-43E1-B093-5528DB1EB0FD}" name="Risk Classification" dataDxfId="89"/>
    <tableColumn id="16" xr3:uid="{D02BF6EA-D3C9-4A99-AACE-FAAC1BA752F7}" name="Is Key Data" dataDxfId="88"/>
    <tableColumn id="4" xr3:uid="{1B14660D-96AF-4F66-ADCF-113CCC9C2E7A}" name="Business Data Owner" dataDxfId="87"/>
    <tableColumn id="5" xr3:uid="{5DC0574A-383B-467C-ADDC-DBF272278B58}" name="Business Data Steward" dataDxfId="8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36" totalsRowShown="0" headerRowDxfId="85" dataDxfId="84">
  <autoFilter ref="B1:Q136" xr:uid="{3FD2569B-B86D-4F39-9D9A-1B32B8579048}">
    <filterColumn colId="7">
      <filters>
        <filter val="Beverage event"/>
      </filters>
    </filterColumn>
  </autoFilter>
  <tableColumns count="16">
    <tableColumn id="1" xr3:uid="{DCE8DE63-589D-4A72-A9DC-8C3CB455985B}" name="ID" dataDxfId="83"/>
    <tableColumn id="2" xr3:uid="{DA5FDA8C-AAED-4EA1-9354-580D45B02E12}" name="Attribute Name" dataDxfId="82"/>
    <tableColumn id="8" xr3:uid="{3F58AFBE-20C9-44D8-BD12-D431B52C063D}" name="Attribute Qualified Name" dataDxfId="81"/>
    <tableColumn id="10" xr3:uid="{F0F75020-6A4E-442B-B3F4-8BC717D3CCA5}" name="System Name" dataDxfId="80"/>
    <tableColumn id="16" xr3:uid="{4D134E53-CC8E-4F44-9069-CC707D730046}" name="Intermediate Qualified System Name" dataDxfId="79">
      <calculatedColumnFormula>SUBSTITUTE(SUBSTITUTE(SUBSTITUTE(SUBSTITUTE(LOWER(E2),"&amp;",""),"-",""),"  ","-")," ","-")</calculatedColumnFormula>
    </tableColumn>
    <tableColumn id="11" xr3:uid="{AD5EDBEA-92D5-4400-85E0-DC18567154BB}" name="Collection Name" dataDxfId="78"/>
    <tableColumn id="17" xr3:uid="{307A19ED-7B7D-4CC3-81A2-0DB0C0259401}" name="Collection Intermediate Qualified Name" dataDxfId="77">
      <calculatedColumnFormula>SUBSTITUTE(SUBSTITUTE(SUBSTITUTE(SUBSTITUTE(LOWER(G2),"&amp;",""),"-",""),"  ","-")," ","-")</calculatedColumnFormula>
    </tableColumn>
    <tableColumn id="12" xr3:uid="{7A025681-A4D5-49D3-9D4E-844700F4DE7C}" name="Dataset Name" dataDxfId="76"/>
    <tableColumn id="15" xr3:uid="{17FE7430-7A57-439F-B835-DBD3774BBBA5}" name="Dataset Intermediate Qualified Name" dataDxfId="75">
      <calculatedColumnFormula>SUBSTITUTE(SUBSTITUTE(SUBSTITUTE(SUBSTITUTE(LOWER(I2),"&amp;",""),"-",""),"  ","-")," ","-")</calculatedColumnFormula>
    </tableColumn>
    <tableColumn id="18" xr3:uid="{065F3F72-77E9-4DF7-B13D-6652F4CDAD74}" name="Intermediate Physical Qualified Name" dataDxfId="74">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3"/>
    <tableColumn id="4" xr3:uid="{3DE52DAB-9E4A-4B37-B4C4-0E209109477B}" name="Field Intermediate Qualified Name" dataDxfId="72">
      <calculatedColumnFormula>SUBSTITUTE(SUBSTITUTE(SUBSTITUTE(LOWER(L2),"&amp;",""),"  ","-")," ","-")</calculatedColumnFormula>
    </tableColumn>
    <tableColumn id="9" xr3:uid="{C09004C5-86A3-44FC-9B9B-70D8B886462E}" name="Field Qualified Name" dataDxfId="71">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dataDxfId="70"/>
    <tableColumn id="6" xr3:uid="{2D644923-E13B-4D2A-946C-EEA3E8666761}" name="Field Type" dataDxfId="69"/>
    <tableColumn id="7" xr3:uid="{2F03FB66-57EB-4755-A1AD-376DC649A239}" name="Has Content Structure" dataDxfId="6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5"/>
    <tableColumn id="7" xr3:uid="{DE113785-4557-42B2-8780-421E9C7203A5}" name="Content Structure Intermediate Qualified Name" dataDxfId="64"/>
    <tableColumn id="9" xr3:uid="{E201A700-B080-440A-B5D9-1FC966ED3247}" name="Content Structure Qualified Name" dataDxfId="63"/>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27" totalsRowShown="0">
  <autoFilter ref="B1:D27"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2" dataDxfId="61">
  <autoFilter ref="B1:K1048576" xr:uid="{81BB038A-2A5A-4912-80CF-7DF61FC69F03}"/>
  <sortState xmlns:xlrd2="http://schemas.microsoft.com/office/spreadsheetml/2017/richdata2" ref="B2:K2">
    <sortCondition ref="C1:C2"/>
  </sortState>
  <tableColumns count="10">
    <tableColumn id="1" xr3:uid="{BA920A0C-4399-4BF6-B845-FA09E101EEA6}" name="ID" dataDxfId="60"/>
    <tableColumn id="2" xr3:uid="{E90D218E-B0AC-4349-89DC-68883D6C9EA8}" name="Field Qualified Name" dataDxfId="59"/>
    <tableColumn id="11" xr3:uid="{35B4DE99-3E5C-4872-AE10-9BBE5722CAB7}" name="Content structure Qualified Name" dataDxfId="58"/>
    <tableColumn id="3" xr3:uid="{FF1A9833-2798-4617-A70D-6F9F768CD3D7}" name="Business Rule Description" dataDxfId="57"/>
    <tableColumn id="4" xr3:uid="{27CA0BA4-9049-4416-A2F1-31C3B17F79BB}" name="Data Quality Rule Description" dataDxfId="56"/>
    <tableColumn id="5" xr3:uid="{EB0679D3-8326-44DE-AD02-DFFC24C88A94}" name="Data Quality Dimension" dataDxfId="55"/>
    <tableColumn id="6" xr3:uid="{6264F35F-794D-446F-85E7-1FA6B1B0BE38}" name="Filter Required" dataDxfId="54"/>
    <tableColumn id="7" xr3:uid="{1085C6F2-5292-4DF8-B870-EC74F70CCE8D}" name="Expression" dataDxfId="53"/>
    <tableColumn id="8" xr3:uid="{0DA8B5D2-A884-4C62-BAE6-A35B32158CA7}" name="Active" dataDxfId="52"/>
    <tableColumn id="9" xr3:uid="{4F453B51-9556-4F2A-BD60-1BB6D37DCA90}" name="Expression_version" dataDxfId="5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50" headerRowBorderDxfId="49" tableBorderDxfId="48">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7" dataDxfId="45" headerRowBorderDxfId="46" tableBorderDxfId="44" totalsRowBorderDxfId="43">
  <autoFilter ref="E1:F5" xr:uid="{752363C7-2EC9-470A-9559-60CDB7C240AF}"/>
  <tableColumns count="2">
    <tableColumn id="1" xr3:uid="{D133640A-5906-4F27-8F8B-5AB3957479B7}" name="ID" dataDxfId="42"/>
    <tableColumn id="2" xr3:uid="{D2773445-0A83-41BA-8AB3-EB9CA1C45C10}" name="Deleted Entity Qualified Name" dataDxfId="4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40" dataDxfId="38" headerRowBorderDxfId="39" tableBorderDxfId="37" totalsRowBorderDxfId="36">
  <autoFilter ref="H1:I80" xr:uid="{7FA359C4-807B-4A1A-8B53-AE46F1442FEC}"/>
  <tableColumns count="2">
    <tableColumn id="1" xr3:uid="{1EE3C6CF-8C2E-4887-B766-5628C7607A30}" name="ID" dataDxfId="35"/>
    <tableColumn id="2" xr3:uid="{FCD338D9-64A0-4CC1-ACFC-34D8E3F2D8A0}" name="Deleted Attribute Qualified Name" dataDxfId="3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3" dataDxfId="31" headerRowBorderDxfId="32" tableBorderDxfId="30" totalsRowBorderDxfId="29">
  <autoFilter ref="B1:C3" xr:uid="{C772EA87-744E-4307-8C33-A4BE0CA7E26E}"/>
  <tableColumns count="2">
    <tableColumn id="1" xr3:uid="{71366FF7-0231-46DF-9CE6-3DEF2F7C5932}" name="ID" dataDxfId="28"/>
    <tableColumn id="2" xr3:uid="{048DCCC1-C5D4-473E-A01E-5A19CDA79A60}" name="Deleted Domain Qualified Name" dataDxfId="2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6" dataDxfId="24" headerRowBorderDxfId="25" tableBorderDxfId="23" totalsRowBorderDxfId="22">
  <autoFilter ref="B2:C34" xr:uid="{6F515D25-4287-4766-85EB-AD9C7FD511F6}"/>
  <tableColumns count="2">
    <tableColumn id="2" xr3:uid="{3D58ECEF-AA5F-44E3-8C20-CBD2305AB89A}" name="Field Name" dataDxfId="21"/>
    <tableColumn id="3" xr3:uid="{CABF50FE-AAD8-4782-AE2B-13A6E3624388}" name="Description" dataDxfId="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19" dataDxfId="18">
  <autoFilter ref="B1:Q11" xr:uid="{3FD2569B-B86D-4F39-9D9A-1B32B8579048}"/>
  <tableColumns count="16">
    <tableColumn id="1" xr3:uid="{99D1C1CB-E2E3-4F72-AE2A-2144340F74B6}" name="ID" dataDxfId="17"/>
    <tableColumn id="12" xr3:uid="{3ADB90E6-05FE-4CF3-A3C3-9D8EF1407698}" name="System Name" dataDxfId="16"/>
    <tableColumn id="15" xr3:uid="{46C5256F-6F32-4FA5-8E69-DF68B99576B2}" name="System Intermediate Qualified Name" dataDxfId="15"/>
    <tableColumn id="3" xr3:uid="{90F3A15F-7723-46CF-A0BC-350B268E22A1}" name="Process Name" dataDxfId="14"/>
    <tableColumn id="4" xr3:uid="{E218143E-BADD-490A-BD56-A2F242773E82}" name="Process Intermediate Qualified Name" dataDxfId="13"/>
    <tableColumn id="9" xr3:uid="{C4C15665-7D6B-4259-ADCE-F197E7ADBDF5}" name="Process Qualified Name" dataDxfId="12"/>
    <tableColumn id="7" xr3:uid="{7C79DAA1-8BBD-4709-B1AE-259B2F2395B7}" name="Input 1" dataDxfId="11"/>
    <tableColumn id="2" xr3:uid="{6C5E1454-3124-4D96-A515-73AFC8E7AF56}" name="Input 2" dataDxfId="10"/>
    <tableColumn id="8" xr3:uid="{6F7D5848-77F9-4BB2-B207-0496BC7F7CC1}" name="Input 3" dataDxfId="9"/>
    <tableColumn id="10" xr3:uid="{41A50F8E-C292-48D2-B848-ABB423C1A3B5}" name="Input 4" dataDxfId="8"/>
    <tableColumn id="11" xr3:uid="{EC76F145-0CFB-435E-AE28-10ED08641D05}" name="Output 1" dataDxfId="7"/>
    <tableColumn id="13" xr3:uid="{572BEF9F-68B4-4F41-AAEF-7E0600A6EC5B}" name="Output 2" dataDxfId="6"/>
    <tableColumn id="14" xr3:uid="{A2EB5E12-7DFB-4AF6-ABF6-64DE0F2A7E38}" name="Output 3" dataDxfId="5"/>
    <tableColumn id="16" xr3:uid="{5F99CBCA-1847-4D81-B463-7F93A148DC61}" name="Output 4" dataDxfId="4"/>
    <tableColumn id="5" xr3:uid="{98CD4928-14BC-4E57-AE64-3FBFBD717C26}" name="Definition" dataDxfId="3"/>
    <tableColumn id="6" xr3:uid="{665B41F5-B935-4995-BAF6-9D08386EE179}" name="Process Own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124" t="s">
        <v>0</v>
      </c>
      <c r="D11" s="125"/>
      <c r="E11" s="125"/>
      <c r="F11" s="125"/>
      <c r="G11" s="125"/>
      <c r="H11" s="125"/>
      <c r="I11" s="125"/>
      <c r="J11" s="125"/>
      <c r="K11" s="125"/>
      <c r="L11" s="126"/>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27"/>
      <c r="D14" s="128"/>
      <c r="E14" s="128"/>
      <c r="F14" s="128"/>
      <c r="G14" s="128"/>
      <c r="H14" s="128"/>
      <c r="I14" s="128"/>
      <c r="J14" s="128"/>
      <c r="K14" s="128"/>
      <c r="L14" s="129"/>
      <c r="M14" s="7"/>
      <c r="N14" s="6"/>
    </row>
    <row r="15" spans="1:14" ht="31.8" x14ac:dyDescent="0.5">
      <c r="A15" s="6"/>
      <c r="B15" s="8"/>
      <c r="C15" s="130"/>
      <c r="D15" s="131"/>
      <c r="E15" s="131"/>
      <c r="F15" s="131"/>
      <c r="G15" s="131"/>
      <c r="H15" s="131"/>
      <c r="I15" s="131"/>
      <c r="J15" s="131"/>
      <c r="K15" s="131"/>
      <c r="L15" s="132"/>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664062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2</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3</v>
      </c>
      <c r="D7" s="52" t="s">
        <v>4</v>
      </c>
      <c r="E7" s="133" t="s">
        <v>5</v>
      </c>
      <c r="F7" s="133"/>
      <c r="G7" s="133"/>
      <c r="H7" s="133" t="s">
        <v>6</v>
      </c>
      <c r="I7" s="133"/>
      <c r="J7" s="133"/>
      <c r="K7" s="133"/>
      <c r="L7" s="134"/>
      <c r="M7" s="50"/>
      <c r="N7" s="44"/>
    </row>
    <row r="8" spans="1:14" ht="26.7" customHeight="1" x14ac:dyDescent="0.3">
      <c r="A8" s="44"/>
      <c r="B8" s="48"/>
      <c r="C8" s="53" t="s">
        <v>7</v>
      </c>
      <c r="D8" s="60">
        <v>45588</v>
      </c>
      <c r="E8" s="135" t="s">
        <v>8</v>
      </c>
      <c r="F8" s="135"/>
      <c r="G8" s="135"/>
      <c r="H8" s="136" t="s">
        <v>9</v>
      </c>
      <c r="I8" s="136"/>
      <c r="J8" s="136"/>
      <c r="K8" s="136"/>
      <c r="L8" s="137"/>
      <c r="M8" s="50"/>
      <c r="N8" s="44"/>
    </row>
    <row r="9" spans="1:14" ht="89.7" customHeight="1" x14ac:dyDescent="0.3">
      <c r="A9" s="44"/>
      <c r="B9" s="48"/>
      <c r="C9" s="53"/>
      <c r="D9" s="60"/>
      <c r="E9" s="138"/>
      <c r="F9" s="138"/>
      <c r="G9" s="138"/>
      <c r="H9" s="139"/>
      <c r="I9" s="139"/>
      <c r="J9" s="139"/>
      <c r="K9" s="139"/>
      <c r="L9" s="140"/>
      <c r="M9" s="50"/>
      <c r="N9" s="44"/>
    </row>
    <row r="10" spans="1:14" ht="57.6" customHeight="1" x14ac:dyDescent="0.3">
      <c r="A10" s="44"/>
      <c r="B10" s="48"/>
      <c r="C10" s="53"/>
      <c r="D10" s="60"/>
      <c r="E10" s="141"/>
      <c r="F10" s="141"/>
      <c r="G10" s="141"/>
      <c r="H10" s="139"/>
      <c r="I10" s="139"/>
      <c r="J10" s="139"/>
      <c r="K10" s="139"/>
      <c r="L10" s="140"/>
      <c r="M10" s="50"/>
      <c r="N10" s="44"/>
    </row>
    <row r="11" spans="1:14" ht="87.6" customHeight="1" x14ac:dyDescent="0.3">
      <c r="A11" s="44"/>
      <c r="B11" s="48"/>
      <c r="C11" s="53"/>
      <c r="D11" s="60"/>
      <c r="E11" s="141"/>
      <c r="F11" s="141"/>
      <c r="G11" s="141"/>
      <c r="H11" s="139"/>
      <c r="I11" s="139"/>
      <c r="J11" s="139"/>
      <c r="K11" s="139"/>
      <c r="L11" s="140"/>
      <c r="M11" s="50"/>
      <c r="N11" s="44"/>
    </row>
    <row r="12" spans="1:14" ht="90.6" customHeight="1" x14ac:dyDescent="0.3">
      <c r="A12" s="44"/>
      <c r="B12" s="48"/>
      <c r="C12" s="53"/>
      <c r="D12" s="60"/>
      <c r="E12" s="138"/>
      <c r="F12" s="138"/>
      <c r="G12" s="138"/>
      <c r="H12" s="136"/>
      <c r="I12" s="136"/>
      <c r="J12" s="136"/>
      <c r="K12" s="136"/>
      <c r="L12" s="137"/>
      <c r="M12" s="50"/>
      <c r="N12" s="44"/>
    </row>
    <row r="13" spans="1:14" ht="53.7" customHeight="1" x14ac:dyDescent="0.3">
      <c r="A13" s="44"/>
      <c r="B13" s="48"/>
      <c r="C13" s="53"/>
      <c r="D13" s="60"/>
      <c r="E13" s="138"/>
      <c r="F13" s="138"/>
      <c r="G13" s="138"/>
      <c r="H13" s="139"/>
      <c r="I13" s="139"/>
      <c r="J13" s="139"/>
      <c r="K13" s="139"/>
      <c r="L13" s="140"/>
      <c r="M13" s="50"/>
      <c r="N13" s="44"/>
    </row>
    <row r="14" spans="1:14" ht="55.5" customHeight="1" x14ac:dyDescent="0.3">
      <c r="A14" s="44"/>
      <c r="B14" s="48"/>
      <c r="C14" s="53"/>
      <c r="D14" s="60"/>
      <c r="E14" s="142"/>
      <c r="F14" s="142"/>
      <c r="G14" s="142"/>
      <c r="H14" s="139"/>
      <c r="I14" s="139"/>
      <c r="J14" s="139"/>
      <c r="K14" s="139"/>
      <c r="L14" s="140"/>
      <c r="M14" s="50"/>
      <c r="N14" s="44"/>
    </row>
    <row r="15" spans="1:14" ht="46.5" customHeight="1" x14ac:dyDescent="0.3">
      <c r="A15" s="44"/>
      <c r="B15" s="48"/>
      <c r="C15" s="53"/>
      <c r="D15" s="60"/>
      <c r="E15" s="141"/>
      <c r="F15" s="141"/>
      <c r="G15" s="141"/>
      <c r="H15" s="139"/>
      <c r="I15" s="139"/>
      <c r="J15" s="139"/>
      <c r="K15" s="139"/>
      <c r="L15" s="140"/>
      <c r="M15" s="50"/>
      <c r="N15" s="44"/>
    </row>
    <row r="16" spans="1:14" ht="102.6" customHeight="1" x14ac:dyDescent="0.3">
      <c r="A16" s="54" t="s">
        <v>10</v>
      </c>
      <c r="B16" s="48"/>
      <c r="C16" s="53"/>
      <c r="D16" s="60"/>
      <c r="E16" s="141"/>
      <c r="F16" s="141"/>
      <c r="G16" s="141"/>
      <c r="H16" s="139"/>
      <c r="I16" s="139"/>
      <c r="J16" s="139"/>
      <c r="K16" s="139"/>
      <c r="L16" s="140"/>
      <c r="M16" s="50"/>
      <c r="N16" s="44"/>
    </row>
    <row r="17" spans="1:14" ht="45.6" customHeight="1" x14ac:dyDescent="0.3">
      <c r="A17" s="44"/>
      <c r="B17" s="48"/>
      <c r="C17" s="53"/>
      <c r="D17" s="60"/>
      <c r="E17" s="141"/>
      <c r="F17" s="141"/>
      <c r="G17" s="141"/>
      <c r="H17" s="139"/>
      <c r="I17" s="139"/>
      <c r="J17" s="139"/>
      <c r="K17" s="139"/>
      <c r="L17" s="140"/>
      <c r="M17" s="50"/>
      <c r="N17" s="44"/>
    </row>
    <row r="18" spans="1:14" ht="116.7" customHeight="1" x14ac:dyDescent="0.3">
      <c r="A18" s="44"/>
      <c r="B18" s="48"/>
      <c r="C18" s="53"/>
      <c r="D18" s="60"/>
      <c r="E18" s="141"/>
      <c r="F18" s="141"/>
      <c r="G18" s="141"/>
      <c r="H18" s="139"/>
      <c r="I18" s="139"/>
      <c r="J18" s="139"/>
      <c r="K18" s="139"/>
      <c r="L18" s="140"/>
      <c r="M18" s="50"/>
      <c r="N18" s="44"/>
    </row>
    <row r="19" spans="1:14" ht="66.599999999999994" customHeight="1" x14ac:dyDescent="0.3">
      <c r="A19" s="44"/>
      <c r="B19" s="48"/>
      <c r="C19" s="53"/>
      <c r="D19" s="60"/>
      <c r="E19" s="141"/>
      <c r="F19" s="141"/>
      <c r="G19" s="141"/>
      <c r="H19" s="141"/>
      <c r="I19" s="139"/>
      <c r="J19" s="139"/>
      <c r="K19" s="139"/>
      <c r="L19" s="140"/>
      <c r="M19" s="50"/>
      <c r="N19" s="44"/>
    </row>
    <row r="20" spans="1:14" ht="55.5" customHeight="1" x14ac:dyDescent="0.3">
      <c r="A20" s="44"/>
      <c r="B20" s="48"/>
      <c r="C20" s="53"/>
      <c r="D20" s="60"/>
      <c r="E20" s="141"/>
      <c r="F20" s="141"/>
      <c r="G20" s="141"/>
      <c r="H20" s="139"/>
      <c r="I20" s="139"/>
      <c r="J20" s="139"/>
      <c r="K20" s="139"/>
      <c r="L20" s="140"/>
      <c r="M20" s="50"/>
      <c r="N20" s="44"/>
    </row>
    <row r="21" spans="1:14" ht="51" customHeight="1" x14ac:dyDescent="0.3">
      <c r="A21" s="44"/>
      <c r="B21" s="48"/>
      <c r="C21" s="55"/>
      <c r="D21" s="56"/>
      <c r="E21" s="144"/>
      <c r="F21" s="144"/>
      <c r="G21" s="144"/>
      <c r="H21" s="145"/>
      <c r="I21" s="145"/>
      <c r="J21" s="145"/>
      <c r="K21" s="145"/>
      <c r="L21" s="146"/>
      <c r="M21" s="50"/>
      <c r="N21" s="44"/>
    </row>
    <row r="22" spans="1:14" x14ac:dyDescent="0.3">
      <c r="A22" s="44"/>
      <c r="B22" s="48"/>
      <c r="C22" s="64"/>
      <c r="D22" s="64"/>
      <c r="E22" s="143"/>
      <c r="F22" s="143"/>
      <c r="G22" s="143"/>
      <c r="H22" s="143"/>
      <c r="I22" s="143"/>
      <c r="J22" s="143"/>
      <c r="K22" s="143"/>
      <c r="L22" s="143"/>
      <c r="M22" s="50"/>
      <c r="N22" s="44"/>
    </row>
    <row r="23" spans="1:14" x14ac:dyDescent="0.3">
      <c r="A23" s="44"/>
      <c r="B23" s="48"/>
      <c r="C23" s="64"/>
      <c r="D23" s="64"/>
      <c r="E23" s="143"/>
      <c r="F23" s="143"/>
      <c r="G23" s="143"/>
      <c r="H23" s="143"/>
      <c r="I23" s="143"/>
      <c r="J23" s="143"/>
      <c r="K23" s="143"/>
      <c r="L23" s="143"/>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23:G23"/>
    <mergeCell ref="H23:L23"/>
    <mergeCell ref="E19:G19"/>
    <mergeCell ref="H19:L19"/>
    <mergeCell ref="E20:G20"/>
    <mergeCell ref="H20:L20"/>
    <mergeCell ref="E22:G22"/>
    <mergeCell ref="H22:L22"/>
    <mergeCell ref="E21:G21"/>
    <mergeCell ref="H21:L21"/>
    <mergeCell ref="E16:G16"/>
    <mergeCell ref="H16:L16"/>
    <mergeCell ref="E17:G17"/>
    <mergeCell ref="H17:L17"/>
    <mergeCell ref="E18:G18"/>
    <mergeCell ref="H18:L18"/>
    <mergeCell ref="E13:G13"/>
    <mergeCell ref="H13:L13"/>
    <mergeCell ref="E14:G14"/>
    <mergeCell ref="H14:L14"/>
    <mergeCell ref="E15:G15"/>
    <mergeCell ref="H15:L15"/>
    <mergeCell ref="E10:G10"/>
    <mergeCell ref="H10:L10"/>
    <mergeCell ref="E11:G11"/>
    <mergeCell ref="H11:L11"/>
    <mergeCell ref="E12:G12"/>
    <mergeCell ref="H12:L12"/>
    <mergeCell ref="E7:G7"/>
    <mergeCell ref="H7:L7"/>
    <mergeCell ref="E8:G8"/>
    <mergeCell ref="H8:L8"/>
    <mergeCell ref="E9:G9"/>
    <mergeCell ref="H9:L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A14" zoomScale="54" zoomScaleNormal="30" workbookViewId="0">
      <selection activeCell="L16" sqref="L16"/>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 width="9.33203125" style="6"/>
    <col min="17" max="17" width="33.5546875" bestFit="1" customWidth="1"/>
    <col min="18" max="18" width="39.44140625" bestFit="1" customWidth="1"/>
    <col min="19" max="19" width="255.5546875" bestFit="1" customWidth="1"/>
    <col min="20" max="16384" width="9.33203125" style="6"/>
  </cols>
  <sheetData>
    <row r="1" spans="2:19" x14ac:dyDescent="0.3">
      <c r="B1" s="3"/>
      <c r="C1" s="4"/>
      <c r="D1" s="4"/>
      <c r="E1" s="4"/>
      <c r="F1" s="4"/>
      <c r="G1" s="4"/>
      <c r="H1" s="4"/>
      <c r="I1" s="4"/>
      <c r="J1" s="4"/>
      <c r="K1" s="4"/>
      <c r="L1" s="4"/>
      <c r="M1" s="4"/>
      <c r="N1" s="4"/>
      <c r="O1" s="5"/>
      <c r="Q1" t="s">
        <v>11</v>
      </c>
      <c r="R1" t="s">
        <v>12</v>
      </c>
      <c r="S1" t="s">
        <v>13</v>
      </c>
    </row>
    <row r="2" spans="2:19" x14ac:dyDescent="0.3">
      <c r="B2" s="8"/>
      <c r="O2" s="7"/>
      <c r="Q2" t="s">
        <v>14</v>
      </c>
      <c r="R2" s="20" t="s">
        <v>15</v>
      </c>
      <c r="S2" t="s">
        <v>16</v>
      </c>
    </row>
    <row r="3" spans="2:19" ht="34.799999999999997" x14ac:dyDescent="0.55000000000000004">
      <c r="B3" s="8"/>
      <c r="C3" s="12" t="s">
        <v>17</v>
      </c>
      <c r="D3" s="13"/>
      <c r="E3" s="13"/>
      <c r="O3" s="7"/>
      <c r="Q3" t="s">
        <v>14</v>
      </c>
      <c r="R3" s="20" t="s">
        <v>18</v>
      </c>
      <c r="S3" t="s">
        <v>19</v>
      </c>
    </row>
    <row r="4" spans="2:19" x14ac:dyDescent="0.3">
      <c r="B4" s="8"/>
      <c r="O4" s="7"/>
      <c r="Q4" t="s">
        <v>14</v>
      </c>
      <c r="R4" s="20" t="s">
        <v>20</v>
      </c>
      <c r="S4" t="s">
        <v>21</v>
      </c>
    </row>
    <row r="5" spans="2:19" ht="14.7" customHeight="1" x14ac:dyDescent="0.3">
      <c r="B5" s="8"/>
      <c r="C5" s="147" t="s">
        <v>22</v>
      </c>
      <c r="D5" s="147"/>
      <c r="E5" s="147"/>
      <c r="F5" s="147"/>
      <c r="G5" s="147"/>
      <c r="H5" s="147"/>
      <c r="I5" s="147"/>
      <c r="J5" s="147"/>
      <c r="K5" s="147"/>
      <c r="L5" s="147"/>
      <c r="O5" s="7"/>
      <c r="Q5" t="s">
        <v>14</v>
      </c>
      <c r="R5" s="20" t="s">
        <v>23</v>
      </c>
      <c r="S5" t="s">
        <v>24</v>
      </c>
    </row>
    <row r="6" spans="2:19" x14ac:dyDescent="0.3">
      <c r="B6" s="8"/>
      <c r="C6" s="147"/>
      <c r="D6" s="147"/>
      <c r="E6" s="147"/>
      <c r="F6" s="147"/>
      <c r="G6" s="147"/>
      <c r="H6" s="147"/>
      <c r="I6" s="147"/>
      <c r="J6" s="147"/>
      <c r="K6" s="147"/>
      <c r="L6" s="147"/>
      <c r="O6" s="7"/>
      <c r="Q6" t="s">
        <v>14</v>
      </c>
      <c r="R6" s="20" t="s">
        <v>25</v>
      </c>
      <c r="S6" t="s">
        <v>26</v>
      </c>
    </row>
    <row r="7" spans="2:19" x14ac:dyDescent="0.3">
      <c r="B7" s="8"/>
      <c r="C7" s="147"/>
      <c r="D7" s="147"/>
      <c r="E7" s="147"/>
      <c r="F7" s="147"/>
      <c r="G7" s="147"/>
      <c r="H7" s="147"/>
      <c r="I7" s="147"/>
      <c r="J7" s="147"/>
      <c r="K7" s="147"/>
      <c r="L7" s="147"/>
      <c r="O7" s="7"/>
      <c r="Q7" t="s">
        <v>27</v>
      </c>
      <c r="R7" s="21" t="s">
        <v>15</v>
      </c>
      <c r="S7" t="s">
        <v>28</v>
      </c>
    </row>
    <row r="8" spans="2:19" x14ac:dyDescent="0.3">
      <c r="B8" s="8"/>
      <c r="C8" s="147"/>
      <c r="D8" s="147"/>
      <c r="E8" s="147"/>
      <c r="F8" s="147"/>
      <c r="G8" s="147"/>
      <c r="H8" s="147"/>
      <c r="I8" s="147"/>
      <c r="J8" s="147"/>
      <c r="K8" s="147"/>
      <c r="L8" s="147"/>
      <c r="O8" s="7"/>
      <c r="Q8" t="s">
        <v>27</v>
      </c>
      <c r="R8" s="21" t="s">
        <v>29</v>
      </c>
      <c r="S8" t="s">
        <v>30</v>
      </c>
    </row>
    <row r="9" spans="2:19" ht="15" customHeight="1" x14ac:dyDescent="0.3">
      <c r="B9" s="8"/>
      <c r="C9" s="147"/>
      <c r="D9" s="147"/>
      <c r="E9" s="147"/>
      <c r="F9" s="147"/>
      <c r="G9" s="147"/>
      <c r="H9" s="147"/>
      <c r="I9" s="147"/>
      <c r="J9" s="147"/>
      <c r="K9" s="147"/>
      <c r="L9" s="147"/>
      <c r="O9" s="7"/>
      <c r="Q9" t="s">
        <v>27</v>
      </c>
      <c r="R9" s="21" t="s">
        <v>31</v>
      </c>
      <c r="S9" t="s">
        <v>32</v>
      </c>
    </row>
    <row r="10" spans="2:19" ht="17.7" customHeight="1" x14ac:dyDescent="0.3">
      <c r="B10" s="8"/>
      <c r="C10" s="147"/>
      <c r="D10" s="147"/>
      <c r="E10" s="147"/>
      <c r="F10" s="147"/>
      <c r="G10" s="147"/>
      <c r="H10" s="147"/>
      <c r="I10" s="147"/>
      <c r="J10" s="147"/>
      <c r="K10" s="147"/>
      <c r="L10" s="147"/>
      <c r="O10" s="7"/>
      <c r="Q10" t="s">
        <v>27</v>
      </c>
      <c r="R10" s="61" t="s">
        <v>33</v>
      </c>
      <c r="S10" t="s">
        <v>34</v>
      </c>
    </row>
    <row r="11" spans="2:19" ht="28.8" x14ac:dyDescent="0.3">
      <c r="B11" s="8"/>
      <c r="C11" s="147"/>
      <c r="D11" s="147"/>
      <c r="E11" s="147"/>
      <c r="F11" s="147"/>
      <c r="G11" s="147"/>
      <c r="H11" s="147"/>
      <c r="I11" s="147"/>
      <c r="J11" s="147"/>
      <c r="K11" s="147"/>
      <c r="L11" s="147"/>
      <c r="O11" s="7"/>
      <c r="Q11" t="s">
        <v>27</v>
      </c>
      <c r="R11" s="21" t="s">
        <v>35</v>
      </c>
      <c r="S11" s="63" t="s">
        <v>36</v>
      </c>
    </row>
    <row r="12" spans="2:19" ht="25.2" customHeight="1" x14ac:dyDescent="0.3">
      <c r="B12" s="8"/>
      <c r="C12" s="148"/>
      <c r="D12" s="15"/>
      <c r="E12" s="62"/>
      <c r="O12" s="7"/>
      <c r="Q12" t="s">
        <v>27</v>
      </c>
      <c r="R12" s="21" t="s">
        <v>37</v>
      </c>
      <c r="S12" t="s">
        <v>38</v>
      </c>
    </row>
    <row r="13" spans="2:19" ht="25.2" customHeight="1" x14ac:dyDescent="0.3">
      <c r="B13" s="8"/>
      <c r="C13" s="148"/>
      <c r="D13" s="15"/>
      <c r="E13" s="62"/>
      <c r="O13" s="7"/>
      <c r="Q13" t="s">
        <v>27</v>
      </c>
      <c r="R13" s="21" t="s">
        <v>39</v>
      </c>
      <c r="S13" t="s">
        <v>40</v>
      </c>
    </row>
    <row r="14" spans="2:19" ht="25.2" customHeight="1" x14ac:dyDescent="0.3">
      <c r="B14" s="8"/>
      <c r="C14" s="148"/>
      <c r="D14" s="15"/>
      <c r="E14" s="62"/>
      <c r="O14" s="7"/>
      <c r="Q14" t="s">
        <v>27</v>
      </c>
      <c r="R14" s="21" t="s">
        <v>23</v>
      </c>
      <c r="S14" t="s">
        <v>41</v>
      </c>
    </row>
    <row r="15" spans="2:19" ht="25.2" customHeight="1" x14ac:dyDescent="0.3">
      <c r="B15" s="8"/>
      <c r="C15" s="148"/>
      <c r="D15" s="15"/>
      <c r="E15" s="62"/>
      <c r="O15" s="7"/>
      <c r="Q15" t="s">
        <v>27</v>
      </c>
      <c r="R15" s="21" t="s">
        <v>42</v>
      </c>
      <c r="S15" t="s">
        <v>43</v>
      </c>
    </row>
    <row r="16" spans="2:19" ht="25.2" customHeight="1" x14ac:dyDescent="0.3">
      <c r="B16" s="8"/>
      <c r="C16" s="148"/>
      <c r="D16" s="15"/>
      <c r="E16" s="62"/>
      <c r="O16" s="7"/>
      <c r="Q16" t="s">
        <v>27</v>
      </c>
      <c r="R16" s="21" t="s">
        <v>44</v>
      </c>
      <c r="S16" t="s">
        <v>45</v>
      </c>
    </row>
    <row r="17" spans="2:19" ht="25.2" customHeight="1" x14ac:dyDescent="0.3">
      <c r="B17" s="8"/>
      <c r="C17" s="148"/>
      <c r="D17" s="15"/>
      <c r="E17" s="62"/>
      <c r="O17" s="7"/>
      <c r="Q17" t="s">
        <v>46</v>
      </c>
      <c r="R17" s="22" t="s">
        <v>15</v>
      </c>
      <c r="S17" t="s">
        <v>47</v>
      </c>
    </row>
    <row r="18" spans="2:19" ht="25.2" customHeight="1" x14ac:dyDescent="0.3">
      <c r="B18" s="8"/>
      <c r="C18" s="148"/>
      <c r="D18" s="15"/>
      <c r="E18" s="62"/>
      <c r="O18" s="7"/>
      <c r="Q18" t="s">
        <v>46</v>
      </c>
      <c r="R18" s="22" t="s">
        <v>48</v>
      </c>
      <c r="S18" t="s">
        <v>49</v>
      </c>
    </row>
    <row r="19" spans="2:19" ht="25.2" customHeight="1" x14ac:dyDescent="0.3">
      <c r="B19" s="8"/>
      <c r="C19" s="148"/>
      <c r="D19" s="15"/>
      <c r="E19" s="62"/>
      <c r="O19" s="7"/>
      <c r="Q19" t="s">
        <v>46</v>
      </c>
      <c r="R19" s="22" t="s">
        <v>50</v>
      </c>
      <c r="S19" t="s">
        <v>51</v>
      </c>
    </row>
    <row r="20" spans="2:19" ht="25.2" customHeight="1" x14ac:dyDescent="0.3">
      <c r="B20" s="8"/>
      <c r="C20" s="148"/>
      <c r="D20" s="15"/>
      <c r="E20" s="62"/>
      <c r="O20" s="7"/>
      <c r="Q20" t="s">
        <v>46</v>
      </c>
      <c r="R20" s="22" t="s">
        <v>52</v>
      </c>
      <c r="S20" t="s">
        <v>53</v>
      </c>
    </row>
    <row r="21" spans="2:19" ht="25.2" customHeight="1" x14ac:dyDescent="0.3">
      <c r="B21" s="8"/>
      <c r="C21" s="148"/>
      <c r="D21" s="16"/>
      <c r="E21" s="62"/>
      <c r="O21" s="7"/>
      <c r="Q21" t="s">
        <v>46</v>
      </c>
      <c r="R21" s="22" t="s">
        <v>23</v>
      </c>
      <c r="S21" t="s">
        <v>41</v>
      </c>
    </row>
    <row r="22" spans="2:19" ht="25.2" customHeight="1" x14ac:dyDescent="0.3">
      <c r="B22" s="8"/>
      <c r="C22" s="148"/>
      <c r="D22" s="15"/>
      <c r="E22" s="62"/>
      <c r="F22" s="14"/>
      <c r="G22" s="14"/>
      <c r="H22" s="14"/>
      <c r="I22" s="14"/>
      <c r="J22" s="14"/>
      <c r="K22" s="14"/>
      <c r="L22" s="14"/>
      <c r="O22" s="7"/>
      <c r="Q22" t="s">
        <v>46</v>
      </c>
      <c r="R22" s="22" t="s">
        <v>54</v>
      </c>
      <c r="S22" t="s">
        <v>55</v>
      </c>
    </row>
    <row r="23" spans="2:19" ht="25.2" customHeight="1" x14ac:dyDescent="0.3">
      <c r="B23" s="8"/>
      <c r="C23" s="148"/>
      <c r="D23" s="15"/>
      <c r="E23" s="62"/>
      <c r="F23" s="14"/>
      <c r="G23" s="14"/>
      <c r="H23" s="14"/>
      <c r="I23" s="14"/>
      <c r="J23" s="14"/>
      <c r="K23" s="14"/>
      <c r="L23" s="14"/>
      <c r="O23" s="7"/>
      <c r="Q23" t="s">
        <v>46</v>
      </c>
      <c r="R23" s="22" t="s">
        <v>56</v>
      </c>
      <c r="S23" t="s">
        <v>57</v>
      </c>
    </row>
    <row r="24" spans="2:19" ht="25.2" customHeight="1" x14ac:dyDescent="0.3">
      <c r="B24" s="8"/>
      <c r="C24" s="148"/>
      <c r="D24" s="15"/>
      <c r="E24" s="62"/>
      <c r="F24" s="14"/>
      <c r="G24" s="14"/>
      <c r="H24" s="14"/>
      <c r="I24" s="14"/>
      <c r="J24" s="14"/>
      <c r="K24" s="14"/>
      <c r="L24" s="14"/>
      <c r="O24" s="7"/>
      <c r="Q24" t="s">
        <v>46</v>
      </c>
      <c r="R24" s="22" t="s">
        <v>58</v>
      </c>
      <c r="S24" t="s">
        <v>59</v>
      </c>
    </row>
    <row r="25" spans="2:19" ht="25.2" customHeight="1" x14ac:dyDescent="0.3">
      <c r="B25" s="8"/>
      <c r="C25" s="148"/>
      <c r="D25" s="15"/>
      <c r="E25" s="62"/>
      <c r="F25" s="14"/>
      <c r="G25" s="14"/>
      <c r="H25" s="14"/>
      <c r="I25" s="14"/>
      <c r="J25" s="14"/>
      <c r="K25" s="14"/>
      <c r="L25" s="14"/>
      <c r="O25" s="7"/>
      <c r="Q25" t="s">
        <v>46</v>
      </c>
      <c r="R25" s="22" t="s">
        <v>60</v>
      </c>
      <c r="S25" t="s">
        <v>61</v>
      </c>
    </row>
    <row r="26" spans="2:19" ht="25.2" customHeight="1" x14ac:dyDescent="0.3">
      <c r="B26" s="8"/>
      <c r="C26" s="148"/>
      <c r="D26" s="15"/>
      <c r="E26" s="62"/>
      <c r="O26" s="7"/>
      <c r="Q26" t="s">
        <v>46</v>
      </c>
      <c r="R26" s="22" t="s">
        <v>42</v>
      </c>
      <c r="S26" s="34" t="s">
        <v>62</v>
      </c>
    </row>
    <row r="27" spans="2:19" ht="25.2" customHeight="1" x14ac:dyDescent="0.3">
      <c r="B27" s="8"/>
      <c r="C27" s="148"/>
      <c r="D27" s="15"/>
      <c r="E27" s="62"/>
      <c r="M27" s="19"/>
      <c r="O27" s="7"/>
      <c r="Q27" t="s">
        <v>46</v>
      </c>
      <c r="R27" s="22" t="s">
        <v>44</v>
      </c>
      <c r="S27" s="34" t="s">
        <v>63</v>
      </c>
    </row>
    <row r="28" spans="2:19" ht="25.2" customHeight="1" x14ac:dyDescent="0.3">
      <c r="B28" s="8"/>
      <c r="C28" s="148"/>
      <c r="D28" s="15"/>
      <c r="E28" s="62"/>
      <c r="M28" s="19"/>
      <c r="O28" s="7"/>
      <c r="Q28" t="s">
        <v>64</v>
      </c>
      <c r="R28" s="23" t="s">
        <v>15</v>
      </c>
      <c r="S28" t="s">
        <v>65</v>
      </c>
    </row>
    <row r="29" spans="2:19" ht="25.2" customHeight="1" x14ac:dyDescent="0.3">
      <c r="B29" s="8"/>
      <c r="O29" s="7"/>
      <c r="Q29" t="s">
        <v>64</v>
      </c>
      <c r="R29" s="23" t="s">
        <v>50</v>
      </c>
      <c r="S29" t="s">
        <v>66</v>
      </c>
    </row>
    <row r="30" spans="2:19" ht="25.2" customHeight="1" x14ac:dyDescent="0.3">
      <c r="B30" s="8"/>
      <c r="M30" s="19"/>
      <c r="O30" s="7"/>
      <c r="Q30" t="s">
        <v>64</v>
      </c>
      <c r="R30" s="24" t="s">
        <v>52</v>
      </c>
      <c r="S30" t="s">
        <v>67</v>
      </c>
    </row>
    <row r="31" spans="2:19" ht="25.2" customHeight="1" x14ac:dyDescent="0.3">
      <c r="B31" s="8"/>
      <c r="O31" s="7"/>
      <c r="Q31" t="s">
        <v>64</v>
      </c>
      <c r="R31" s="24" t="s">
        <v>68</v>
      </c>
      <c r="S31" t="s">
        <v>69</v>
      </c>
    </row>
    <row r="32" spans="2:19" ht="25.2" customHeight="1" x14ac:dyDescent="0.3">
      <c r="B32" s="8"/>
      <c r="O32" s="7"/>
      <c r="Q32" t="s">
        <v>64</v>
      </c>
      <c r="R32" s="24" t="s">
        <v>70</v>
      </c>
      <c r="S32" t="s">
        <v>71</v>
      </c>
    </row>
    <row r="33" spans="2:19" x14ac:dyDescent="0.3">
      <c r="B33" s="8"/>
      <c r="O33" s="7"/>
      <c r="Q33" t="s">
        <v>64</v>
      </c>
      <c r="R33" s="24" t="s">
        <v>72</v>
      </c>
      <c r="S33" t="s">
        <v>73</v>
      </c>
    </row>
    <row r="34" spans="2:19" x14ac:dyDescent="0.3">
      <c r="B34" s="8"/>
      <c r="O34" s="7"/>
      <c r="Q34" t="s">
        <v>64</v>
      </c>
      <c r="R34" s="24" t="s">
        <v>74</v>
      </c>
      <c r="S34" t="s">
        <v>75</v>
      </c>
    </row>
    <row r="35" spans="2:19" x14ac:dyDescent="0.3">
      <c r="B35" s="8"/>
      <c r="O35" s="7"/>
      <c r="Q35" t="s">
        <v>64</v>
      </c>
      <c r="R35" s="24" t="s">
        <v>76</v>
      </c>
      <c r="S35" t="s">
        <v>77</v>
      </c>
    </row>
    <row r="36" spans="2:19" x14ac:dyDescent="0.3">
      <c r="B36" s="8"/>
      <c r="O36" s="7"/>
      <c r="Q36" t="s">
        <v>64</v>
      </c>
      <c r="R36" s="24" t="s">
        <v>78</v>
      </c>
      <c r="S36" s="34" t="s">
        <v>79</v>
      </c>
    </row>
    <row r="37" spans="2:19" x14ac:dyDescent="0.3">
      <c r="B37" s="8"/>
      <c r="O37" s="7"/>
      <c r="Q37" t="s">
        <v>64</v>
      </c>
      <c r="R37" s="24" t="s">
        <v>80</v>
      </c>
      <c r="S37" t="s">
        <v>81</v>
      </c>
    </row>
    <row r="38" spans="2:19" x14ac:dyDescent="0.3">
      <c r="B38" s="8"/>
      <c r="O38" s="7"/>
      <c r="Q38" t="s">
        <v>64</v>
      </c>
      <c r="R38" s="25" t="s">
        <v>82</v>
      </c>
      <c r="S38" t="s">
        <v>83</v>
      </c>
    </row>
    <row r="39" spans="2:19" x14ac:dyDescent="0.3">
      <c r="B39" s="8"/>
      <c r="O39" s="7"/>
      <c r="Q39" t="s">
        <v>84</v>
      </c>
      <c r="R39" s="26" t="s">
        <v>15</v>
      </c>
      <c r="S39" t="s">
        <v>85</v>
      </c>
    </row>
    <row r="40" spans="2:19" x14ac:dyDescent="0.3">
      <c r="B40" s="8"/>
      <c r="O40" s="7"/>
      <c r="Q40" t="s">
        <v>84</v>
      </c>
      <c r="R40" s="26" t="s">
        <v>76</v>
      </c>
      <c r="S40" t="s">
        <v>86</v>
      </c>
    </row>
    <row r="41" spans="2:19" x14ac:dyDescent="0.3">
      <c r="B41" s="8"/>
      <c r="O41" s="7"/>
      <c r="Q41" t="s">
        <v>84</v>
      </c>
      <c r="R41" s="26" t="s">
        <v>87</v>
      </c>
      <c r="S41" t="s">
        <v>88</v>
      </c>
    </row>
    <row r="42" spans="2:19" x14ac:dyDescent="0.3">
      <c r="B42" s="8"/>
      <c r="O42" s="7"/>
      <c r="Q42" t="s">
        <v>84</v>
      </c>
      <c r="R42" s="29" t="s">
        <v>89</v>
      </c>
      <c r="S42" t="s">
        <v>90</v>
      </c>
    </row>
    <row r="43" spans="2:19" x14ac:dyDescent="0.3">
      <c r="B43" s="8"/>
      <c r="O43" s="7"/>
      <c r="Q43" t="s">
        <v>84</v>
      </c>
      <c r="R43" s="26" t="s">
        <v>91</v>
      </c>
      <c r="S43" s="34" t="s">
        <v>92</v>
      </c>
    </row>
    <row r="44" spans="2:19" x14ac:dyDescent="0.3">
      <c r="B44" s="8"/>
      <c r="O44" s="7"/>
      <c r="Q44" t="s">
        <v>84</v>
      </c>
      <c r="R44" s="26" t="s">
        <v>23</v>
      </c>
      <c r="S44" s="34" t="s">
        <v>93</v>
      </c>
    </row>
    <row r="45" spans="2:19" x14ac:dyDescent="0.3">
      <c r="B45" s="8"/>
      <c r="O45" s="7"/>
      <c r="Q45" t="s">
        <v>94</v>
      </c>
      <c r="R45" s="27" t="s">
        <v>15</v>
      </c>
      <c r="S45" t="s">
        <v>95</v>
      </c>
    </row>
    <row r="46" spans="2:19" x14ac:dyDescent="0.3">
      <c r="B46" s="8"/>
      <c r="O46" s="7"/>
      <c r="Q46" t="s">
        <v>94</v>
      </c>
      <c r="R46" s="28" t="s">
        <v>76</v>
      </c>
      <c r="S46" t="s">
        <v>96</v>
      </c>
    </row>
    <row r="47" spans="2:19" x14ac:dyDescent="0.3">
      <c r="B47" s="8"/>
      <c r="O47" s="7"/>
      <c r="Q47" t="s">
        <v>94</v>
      </c>
      <c r="R47" s="28" t="s">
        <v>91</v>
      </c>
      <c r="S47" t="s">
        <v>97</v>
      </c>
    </row>
    <row r="48" spans="2:19" x14ac:dyDescent="0.3">
      <c r="B48" s="8"/>
      <c r="O48" s="7"/>
      <c r="Q48" t="s">
        <v>94</v>
      </c>
      <c r="R48" s="28" t="s">
        <v>98</v>
      </c>
      <c r="S48" s="34" t="s">
        <v>99</v>
      </c>
    </row>
    <row r="49" spans="2:19" x14ac:dyDescent="0.3">
      <c r="B49" s="8"/>
      <c r="O49" s="7"/>
      <c r="P49" s="19"/>
      <c r="Q49" t="s">
        <v>94</v>
      </c>
      <c r="R49" s="28" t="s">
        <v>100</v>
      </c>
      <c r="S49" s="34" t="s">
        <v>101</v>
      </c>
    </row>
    <row r="50" spans="2:19" x14ac:dyDescent="0.3">
      <c r="B50" s="8"/>
      <c r="O50" s="7"/>
      <c r="Q50" t="s">
        <v>94</v>
      </c>
      <c r="R50" s="28" t="s">
        <v>102</v>
      </c>
      <c r="S50" t="s">
        <v>103</v>
      </c>
    </row>
    <row r="51" spans="2:19" x14ac:dyDescent="0.3">
      <c r="B51" s="8"/>
      <c r="O51" s="7"/>
      <c r="P51" s="19"/>
      <c r="Q51" t="s">
        <v>94</v>
      </c>
      <c r="R51" s="28" t="s">
        <v>104</v>
      </c>
      <c r="S51" t="s">
        <v>105</v>
      </c>
    </row>
    <row r="52" spans="2:19" x14ac:dyDescent="0.3">
      <c r="B52" s="8"/>
      <c r="O52" s="7"/>
      <c r="Q52" t="s">
        <v>94</v>
      </c>
      <c r="R52" s="28" t="s">
        <v>106</v>
      </c>
      <c r="S52" t="s">
        <v>107</v>
      </c>
    </row>
    <row r="53" spans="2:19" x14ac:dyDescent="0.3">
      <c r="B53" s="8"/>
      <c r="O53" s="7"/>
      <c r="Q53" t="s">
        <v>94</v>
      </c>
      <c r="R53" s="28" t="s">
        <v>108</v>
      </c>
      <c r="S53" t="s">
        <v>109</v>
      </c>
    </row>
    <row r="54" spans="2:19" x14ac:dyDescent="0.3">
      <c r="B54" s="9"/>
      <c r="C54" s="10"/>
      <c r="D54" s="10"/>
      <c r="E54" s="10"/>
      <c r="F54" s="10"/>
      <c r="G54" s="10"/>
      <c r="H54" s="10"/>
      <c r="I54" s="10"/>
      <c r="J54" s="10"/>
      <c r="K54" s="10"/>
      <c r="L54" s="10"/>
      <c r="M54" s="10"/>
      <c r="N54" s="10"/>
      <c r="O54" s="11"/>
      <c r="Q54" t="s">
        <v>94</v>
      </c>
      <c r="R54" s="28" t="s">
        <v>110</v>
      </c>
      <c r="S54" t="s">
        <v>111</v>
      </c>
    </row>
    <row r="55" spans="2:19" x14ac:dyDescent="0.3">
      <c r="Q55" t="s">
        <v>112</v>
      </c>
      <c r="R55" s="23" t="s">
        <v>15</v>
      </c>
      <c r="S55" t="s">
        <v>113</v>
      </c>
    </row>
    <row r="56" spans="2:19" x14ac:dyDescent="0.3">
      <c r="Q56" t="s">
        <v>112</v>
      </c>
      <c r="R56" s="23" t="s">
        <v>114</v>
      </c>
      <c r="S56" t="s">
        <v>115</v>
      </c>
    </row>
    <row r="57" spans="2:19" x14ac:dyDescent="0.3">
      <c r="Q57" t="s">
        <v>112</v>
      </c>
      <c r="R57" s="23" t="s">
        <v>116</v>
      </c>
      <c r="S57" t="s">
        <v>117</v>
      </c>
    </row>
  </sheetData>
  <mergeCells count="3">
    <mergeCell ref="C5:L11"/>
    <mergeCell ref="C12:C17"/>
    <mergeCell ref="C18:C28"/>
  </mergeCells>
  <conditionalFormatting sqref="R13">
    <cfRule type="expression" dxfId="133"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D10" zoomScale="50" zoomScaleNormal="50" workbookViewId="0">
      <selection activeCell="C8" sqref="C8"/>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384" width="9.3320312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118</v>
      </c>
      <c r="D7" s="13"/>
      <c r="E7" s="13"/>
      <c r="O7" s="7"/>
    </row>
    <row r="8" spans="2:15" x14ac:dyDescent="0.3">
      <c r="B8" s="8"/>
      <c r="O8" s="7"/>
    </row>
    <row r="9" spans="2:15" ht="15" customHeight="1" x14ac:dyDescent="0.3">
      <c r="B9" s="8"/>
      <c r="C9" s="147" t="s">
        <v>119</v>
      </c>
      <c r="D9" s="147"/>
      <c r="E9" s="147"/>
      <c r="F9" s="147"/>
      <c r="G9" s="147"/>
      <c r="H9" s="147"/>
      <c r="I9" s="147"/>
      <c r="J9" s="147"/>
      <c r="K9" s="147"/>
      <c r="L9" s="147"/>
      <c r="O9" s="7"/>
    </row>
    <row r="10" spans="2:15" x14ac:dyDescent="0.3">
      <c r="B10" s="8"/>
      <c r="C10" s="147"/>
      <c r="D10" s="147"/>
      <c r="E10" s="147"/>
      <c r="F10" s="147"/>
      <c r="G10" s="147"/>
      <c r="H10" s="147"/>
      <c r="I10" s="147"/>
      <c r="J10" s="147"/>
      <c r="K10" s="147"/>
      <c r="L10" s="147"/>
      <c r="O10" s="7"/>
    </row>
    <row r="11" spans="2:15" x14ac:dyDescent="0.3">
      <c r="B11" s="8"/>
      <c r="C11" s="147"/>
      <c r="D11" s="147"/>
      <c r="E11" s="147"/>
      <c r="F11" s="147"/>
      <c r="G11" s="147"/>
      <c r="H11" s="147"/>
      <c r="I11" s="147"/>
      <c r="J11" s="147"/>
      <c r="K11" s="147"/>
      <c r="L11" s="147"/>
      <c r="O11" s="7"/>
    </row>
    <row r="12" spans="2:15" ht="25.2" customHeight="1" x14ac:dyDescent="0.3">
      <c r="B12" s="8"/>
      <c r="C12" s="147"/>
      <c r="D12" s="147"/>
      <c r="E12" s="147"/>
      <c r="F12" s="147"/>
      <c r="G12" s="147"/>
      <c r="H12" s="147"/>
      <c r="I12" s="147"/>
      <c r="J12" s="147"/>
      <c r="K12" s="147"/>
      <c r="L12" s="147"/>
      <c r="O12" s="7"/>
    </row>
    <row r="13" spans="2:15" ht="25.2" customHeight="1" x14ac:dyDescent="0.3">
      <c r="B13" s="8"/>
      <c r="C13" s="147"/>
      <c r="D13" s="147"/>
      <c r="E13" s="147"/>
      <c r="F13" s="147"/>
      <c r="G13" s="147"/>
      <c r="H13" s="147"/>
      <c r="I13" s="147"/>
      <c r="J13" s="147"/>
      <c r="K13" s="147"/>
      <c r="L13" s="147"/>
      <c r="O13" s="7"/>
    </row>
    <row r="14" spans="2:15" ht="25.2" customHeight="1" x14ac:dyDescent="0.3">
      <c r="B14" s="8"/>
      <c r="C14" s="17"/>
      <c r="D14" s="15"/>
      <c r="E14" s="62"/>
      <c r="O14" s="7"/>
    </row>
    <row r="15" spans="2:15" ht="25.2" customHeight="1" x14ac:dyDescent="0.3">
      <c r="B15" s="8"/>
      <c r="C15" s="17"/>
      <c r="D15" s="15"/>
      <c r="E15" s="62"/>
      <c r="O15" s="7"/>
    </row>
    <row r="16" spans="2:15" ht="25.2" customHeight="1" x14ac:dyDescent="0.3">
      <c r="B16" s="8"/>
      <c r="C16" s="148"/>
      <c r="D16" s="15"/>
      <c r="E16" s="62"/>
      <c r="O16" s="7"/>
    </row>
    <row r="17" spans="2:15" ht="25.2" customHeight="1" x14ac:dyDescent="0.3">
      <c r="B17" s="8"/>
      <c r="C17" s="148"/>
      <c r="D17" s="15"/>
      <c r="E17" s="62"/>
      <c r="O17" s="7"/>
    </row>
    <row r="18" spans="2:15" ht="25.2" customHeight="1" x14ac:dyDescent="0.3">
      <c r="B18" s="8"/>
      <c r="C18" s="148"/>
      <c r="D18" s="15"/>
      <c r="E18" s="62"/>
      <c r="O18" s="7"/>
    </row>
    <row r="19" spans="2:15" ht="25.2" customHeight="1" x14ac:dyDescent="0.3">
      <c r="B19" s="8"/>
      <c r="C19" s="148"/>
      <c r="D19" s="15"/>
      <c r="E19" s="62"/>
      <c r="O19" s="7"/>
    </row>
    <row r="20" spans="2:15" ht="25.2" customHeight="1" x14ac:dyDescent="0.3">
      <c r="B20" s="8"/>
      <c r="C20" s="148"/>
      <c r="D20" s="15"/>
      <c r="E20" s="62"/>
      <c r="O20" s="7"/>
    </row>
    <row r="21" spans="2:15" ht="25.2" customHeight="1" x14ac:dyDescent="0.3">
      <c r="B21" s="8"/>
      <c r="C21" s="148"/>
      <c r="D21" s="15"/>
      <c r="E21" s="62"/>
      <c r="O21" s="7"/>
    </row>
    <row r="22" spans="2:15" ht="25.2" customHeight="1" x14ac:dyDescent="0.3">
      <c r="B22" s="8"/>
      <c r="C22" s="148"/>
      <c r="D22" s="15"/>
      <c r="E22" s="62"/>
      <c r="O22" s="7"/>
    </row>
    <row r="23" spans="2:15" ht="25.2" customHeight="1" x14ac:dyDescent="0.3">
      <c r="B23" s="8"/>
      <c r="C23" s="148"/>
      <c r="D23" s="15"/>
      <c r="E23" s="62"/>
      <c r="O23" s="7"/>
    </row>
    <row r="24" spans="2:15" ht="25.2" customHeight="1" x14ac:dyDescent="0.3">
      <c r="B24" s="8"/>
      <c r="C24" s="148"/>
      <c r="D24" s="15"/>
      <c r="E24" s="62"/>
      <c r="O24" s="7"/>
    </row>
    <row r="25" spans="2:15" ht="25.2" customHeight="1" x14ac:dyDescent="0.3">
      <c r="B25" s="8"/>
      <c r="C25" s="148"/>
      <c r="D25" s="16"/>
      <c r="E25" s="62"/>
      <c r="O25" s="7"/>
    </row>
    <row r="26" spans="2:15" ht="25.2" customHeight="1" x14ac:dyDescent="0.3">
      <c r="B26" s="8"/>
      <c r="C26" s="148"/>
      <c r="D26" s="15"/>
      <c r="E26" s="62"/>
      <c r="F26" s="14"/>
      <c r="G26" s="14"/>
      <c r="H26" s="14"/>
      <c r="I26" s="14"/>
      <c r="J26" s="14"/>
      <c r="K26" s="14"/>
      <c r="L26" s="14"/>
      <c r="O26" s="7"/>
    </row>
    <row r="27" spans="2:15" ht="25.2" customHeight="1" x14ac:dyDescent="0.3">
      <c r="B27" s="8"/>
      <c r="C27" s="148"/>
      <c r="D27" s="15"/>
      <c r="E27" s="62"/>
      <c r="F27" s="14"/>
      <c r="G27" s="14"/>
      <c r="H27" s="14"/>
      <c r="I27" s="14"/>
      <c r="J27" s="14"/>
      <c r="K27" s="14"/>
      <c r="L27" s="14"/>
      <c r="O27" s="7"/>
    </row>
    <row r="28" spans="2:15" ht="25.2" customHeight="1" x14ac:dyDescent="0.3">
      <c r="B28" s="8"/>
      <c r="C28" s="148"/>
      <c r="D28" s="15"/>
      <c r="E28" s="62"/>
      <c r="F28" s="14"/>
      <c r="G28" s="14"/>
      <c r="H28" s="14"/>
      <c r="I28" s="14"/>
      <c r="J28" s="14"/>
      <c r="K28" s="14"/>
      <c r="L28" s="14"/>
      <c r="O28" s="7"/>
    </row>
    <row r="29" spans="2:15" ht="25.2" customHeight="1" x14ac:dyDescent="0.3">
      <c r="B29" s="8"/>
      <c r="C29" s="148"/>
      <c r="D29" s="15"/>
      <c r="E29" s="62"/>
      <c r="F29" s="14"/>
      <c r="G29" s="14"/>
      <c r="H29" s="14"/>
      <c r="I29" s="14"/>
      <c r="J29" s="14"/>
      <c r="K29" s="14"/>
      <c r="L29" s="14"/>
      <c r="O29" s="7"/>
    </row>
    <row r="30" spans="2:15" ht="25.2" customHeight="1" x14ac:dyDescent="0.3">
      <c r="B30" s="8"/>
      <c r="C30" s="148"/>
      <c r="D30" s="15"/>
      <c r="E30" s="62"/>
      <c r="O30" s="7"/>
    </row>
    <row r="31" spans="2:15" ht="25.2" customHeight="1" x14ac:dyDescent="0.3">
      <c r="B31" s="8"/>
      <c r="C31" s="148"/>
      <c r="D31" s="15"/>
      <c r="E31" s="62"/>
      <c r="M31" s="19"/>
      <c r="O31" s="7"/>
    </row>
    <row r="32" spans="2:15" ht="25.2" customHeight="1" x14ac:dyDescent="0.3">
      <c r="B32" s="8"/>
      <c r="C32" s="148"/>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5"/>
  <sheetViews>
    <sheetView topLeftCell="E1" zoomScale="115" zoomScaleNormal="115" workbookViewId="0">
      <selection activeCell="D3" sqref="D3"/>
    </sheetView>
  </sheetViews>
  <sheetFormatPr defaultRowHeight="14.4" x14ac:dyDescent="0.3"/>
  <cols>
    <col min="3" max="3" width="39.44140625" bestFit="1" customWidth="1"/>
    <col min="4" max="4" width="64.33203125" style="31" bestFit="1" customWidth="1"/>
    <col min="5" max="5" width="255.6640625" bestFit="1" customWidth="1"/>
    <col min="6" max="6" width="20.109375" bestFit="1" customWidth="1"/>
  </cols>
  <sheetData>
    <row r="1" spans="2:6" x14ac:dyDescent="0.3">
      <c r="B1" t="s">
        <v>15</v>
      </c>
      <c r="C1" t="s">
        <v>18</v>
      </c>
      <c r="D1" t="s">
        <v>20</v>
      </c>
      <c r="E1" t="s">
        <v>23</v>
      </c>
      <c r="F1" t="s">
        <v>25</v>
      </c>
    </row>
    <row r="2" spans="2:6" x14ac:dyDescent="0.3">
      <c r="B2">
        <v>1</v>
      </c>
      <c r="C2" t="s">
        <v>120</v>
      </c>
      <c r="D2" s="31" t="str">
        <f>SUBSTITUTE(SUBSTITUTE(SUBSTITUTE(SUBSTITUTE(LOWER(C2),"&amp;",""),"-",""),"  ","-")," ","-")</f>
        <v>beverage-production</v>
      </c>
      <c r="E2" s="63" t="s">
        <v>121</v>
      </c>
    </row>
    <row r="3" spans="2:6" ht="32.700000000000003" customHeight="1" x14ac:dyDescent="0.3">
      <c r="B3" s="31">
        <v>2</v>
      </c>
      <c r="C3" s="85" t="s">
        <v>122</v>
      </c>
      <c r="D3" s="31" t="str">
        <f>SUBSTITUTE(SUBSTITUTE(SUBSTITUTE(SUBSTITUTE(LOWER(C3),"&amp;",""),"-",""),"  ","-")," ","-")</f>
        <v>coffee-machine</v>
      </c>
      <c r="E3" s="86" t="s">
        <v>123</v>
      </c>
      <c r="F3" s="31"/>
    </row>
    <row r="4" spans="2:6" x14ac:dyDescent="0.3">
      <c r="B4" s="31">
        <v>3</v>
      </c>
      <c r="C4" s="85" t="s">
        <v>124</v>
      </c>
      <c r="D4" s="31" t="str">
        <f>SUBSTITUTE(SUBSTITUTE(SUBSTITUTE(SUBSTITUTE(LOWER(C4),"&amp;",""),"-",""),"  ","-")," ","-")</f>
        <v>sales</v>
      </c>
      <c r="E4" s="86" t="s">
        <v>125</v>
      </c>
      <c r="F4" s="31"/>
    </row>
    <row r="5" spans="2:6" x14ac:dyDescent="0.3">
      <c r="B5" s="31">
        <v>4</v>
      </c>
      <c r="C5" s="85" t="s">
        <v>126</v>
      </c>
      <c r="D5" s="31" t="str">
        <f>SUBSTITUTE(SUBSTITUTE(SUBSTITUTE(SUBSTITUTE(LOWER(C5),"&amp;",""),"-",""),"  ","-")," ","-")</f>
        <v>product-asset-management</v>
      </c>
      <c r="E5" s="86" t="s">
        <v>127</v>
      </c>
      <c r="F5" s="31"/>
    </row>
  </sheetData>
  <conditionalFormatting sqref="D2:D5">
    <cfRule type="notContainsBlanks" dxfId="131" priority="1">
      <formula>LEN(TRIM(D2))&gt;0</formula>
    </cfRule>
  </conditionalFormatting>
  <dataValidations count="1">
    <dataValidation type="list" allowBlank="1" showInputMessage="1" showErrorMessage="1" sqref="F2:F5"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12"/>
  <sheetViews>
    <sheetView zoomScale="98" zoomScaleNormal="98" workbookViewId="0">
      <selection activeCell="J5" sqref="J5"/>
    </sheetView>
  </sheetViews>
  <sheetFormatPr defaultColWidth="8.6640625" defaultRowHeight="15" customHeight="1" x14ac:dyDescent="0.3"/>
  <cols>
    <col min="1" max="1" width="9.33203125" style="31" customWidth="1"/>
    <col min="2" max="2" width="4.33203125" customWidth="1"/>
    <col min="3" max="3" width="25.33203125" customWidth="1"/>
    <col min="4" max="4" width="31.44140625" style="32" customWidth="1"/>
    <col min="5" max="5" width="50.5546875" style="31" customWidth="1"/>
    <col min="6" max="6" width="28.6640625" customWidth="1"/>
    <col min="7" max="7" width="26.6640625" style="31" customWidth="1"/>
    <col min="8" max="9" width="6.44140625" customWidth="1"/>
    <col min="10" max="10" width="11.109375" style="31" customWidth="1"/>
    <col min="11" max="11" width="21.5546875" customWidth="1"/>
    <col min="12" max="12" width="29.5546875" style="31" customWidth="1"/>
    <col min="13" max="13" width="5.44140625" style="31" customWidth="1"/>
    <col min="14" max="14" width="68.5546875" bestFit="1" customWidth="1"/>
    <col min="15" max="15" width="35.44140625" bestFit="1" customWidth="1"/>
    <col min="16" max="16" width="38.5546875" bestFit="1" customWidth="1"/>
    <col min="17" max="17" width="23.6640625" bestFit="1" customWidth="1"/>
    <col min="18" max="18" width="9.33203125"/>
    <col min="19" max="19" width="30" bestFit="1" customWidth="1"/>
    <col min="20" max="20" width="26.6640625" customWidth="1"/>
  </cols>
  <sheetData>
    <row r="1" spans="2:16" ht="14.4" x14ac:dyDescent="0.3">
      <c r="B1" t="s">
        <v>15</v>
      </c>
      <c r="C1" t="s">
        <v>29</v>
      </c>
      <c r="D1" s="30" t="s">
        <v>128</v>
      </c>
      <c r="E1" s="30" t="s">
        <v>35</v>
      </c>
      <c r="F1" t="s">
        <v>31</v>
      </c>
      <c r="G1" s="30" t="s">
        <v>129</v>
      </c>
      <c r="H1" t="s">
        <v>33</v>
      </c>
      <c r="I1" t="s">
        <v>37</v>
      </c>
      <c r="J1" s="30" t="s">
        <v>39</v>
      </c>
      <c r="K1" t="s">
        <v>130</v>
      </c>
      <c r="L1" s="30" t="s">
        <v>131</v>
      </c>
      <c r="M1" s="30" t="s">
        <v>132</v>
      </c>
      <c r="N1" t="s">
        <v>23</v>
      </c>
      <c r="O1" t="s">
        <v>42</v>
      </c>
      <c r="P1" t="s">
        <v>44</v>
      </c>
    </row>
    <row r="2" spans="2:16" ht="57.6" x14ac:dyDescent="0.3">
      <c r="B2" s="31">
        <v>1</v>
      </c>
      <c r="C2" s="31" t="s">
        <v>133</v>
      </c>
      <c r="D2" s="33" t="str">
        <f>Table1[[#This Row],[Data Domain]]</f>
        <v>coffee-machine</v>
      </c>
      <c r="E2"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coffee-machine--machine-events</v>
      </c>
      <c r="F2" s="119" t="s">
        <v>134</v>
      </c>
      <c r="G2" s="33" t="str">
        <f>SUBSTITUTE(SUBSTITUTE(SUBSTITUTE(SUBSTITUTE(LOWER(F2),"&amp;",""),"-",""),"  ","-")," ","-")</f>
        <v>machine-events</v>
      </c>
      <c r="H2" s="93" t="s">
        <v>135</v>
      </c>
      <c r="I2" s="93" t="s">
        <v>136</v>
      </c>
      <c r="K2" s="118" t="str">
        <f>IF(Table1[[#This Row],[Has Parent]]="Yes",LOWER(SUBSTITUTE(Table1[[#This Row],[Parent entity name]]," ","-")),"")</f>
        <v/>
      </c>
      <c r="L2" s="33"/>
      <c r="M2" s="33"/>
      <c r="N2" s="96" t="s">
        <v>137</v>
      </c>
      <c r="O2" s="31"/>
      <c r="P2" s="31"/>
    </row>
    <row r="3" spans="2:16" ht="43.2" x14ac:dyDescent="0.3">
      <c r="B3">
        <v>2</v>
      </c>
      <c r="C3" s="31" t="s">
        <v>133</v>
      </c>
      <c r="D3" s="33" t="str">
        <f>Table1[[#This Row],[Data Domain]]</f>
        <v>coffee-machine</v>
      </c>
      <c r="E3"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coffee-machine--machine-state</v>
      </c>
      <c r="F3" s="119" t="s">
        <v>138</v>
      </c>
      <c r="G3" s="33" t="str">
        <f>SUBSTITUTE(SUBSTITUTE(SUBSTITUTE(SUBSTITUTE(LOWER(F3),"&amp;",""),"-",""),"  ","-")," ","-")</f>
        <v>machine-state</v>
      </c>
      <c r="H3" s="94" t="s">
        <v>135</v>
      </c>
      <c r="I3" s="94" t="s">
        <v>136</v>
      </c>
      <c r="K3" s="118" t="str">
        <f>IF(Table1[[#This Row],[Has Parent]]="Yes",LOWER(SUBSTITUTE(Table1[[#This Row],[Parent entity name]]," ","-")),"")</f>
        <v/>
      </c>
      <c r="L3" s="33"/>
      <c r="M3" s="33"/>
      <c r="N3" s="69" t="s">
        <v>139</v>
      </c>
      <c r="P3" s="31"/>
    </row>
    <row r="4" spans="2:16" ht="57.6" x14ac:dyDescent="0.3">
      <c r="B4">
        <v>3</v>
      </c>
      <c r="C4" s="31" t="s">
        <v>133</v>
      </c>
      <c r="D4" s="33" t="str">
        <f>Table1[[#This Row],[Data Domain]]</f>
        <v>coffee-machine</v>
      </c>
      <c r="E4"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coffee-machine--machine-configuration--grinder-control</v>
      </c>
      <c r="F4" s="120" t="s">
        <v>140</v>
      </c>
      <c r="G4" s="33" t="str">
        <f t="shared" ref="G4:G6" si="0">SUBSTITUTE(SUBSTITUTE(SUBSTITUTE(SUBSTITUTE(LOWER(F4),"&amp;",""),"-",""),"  ","-")," ","-")</f>
        <v>grinder-control</v>
      </c>
      <c r="H4" s="93" t="s">
        <v>136</v>
      </c>
      <c r="I4" s="93" t="s">
        <v>135</v>
      </c>
      <c r="J4" s="95" t="s">
        <v>141</v>
      </c>
      <c r="K4" s="118" t="str">
        <f>IF(Table1[[#This Row],[Has Parent]]="Yes",LOWER(SUBSTITUTE(Table1[[#This Row],[Parent entity name]]," ","-")),"")</f>
        <v>machine-configuration</v>
      </c>
      <c r="L4" s="33"/>
      <c r="M4" s="33"/>
      <c r="N4" s="97" t="s">
        <v>142</v>
      </c>
    </row>
    <row r="5" spans="2:16" ht="72" x14ac:dyDescent="0.3">
      <c r="B5">
        <v>4</v>
      </c>
      <c r="C5" s="31" t="s">
        <v>133</v>
      </c>
      <c r="D5" s="33" t="str">
        <f>Table1[[#This Row],[Data Domain]]</f>
        <v>coffee-machine</v>
      </c>
      <c r="E5"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coffee-machine--machine-configuration--machine-recipe</v>
      </c>
      <c r="F5" s="120" t="s">
        <v>143</v>
      </c>
      <c r="G5" s="33" t="str">
        <f t="shared" si="0"/>
        <v>machine-recipe</v>
      </c>
      <c r="H5" s="95" t="s">
        <v>136</v>
      </c>
      <c r="I5" s="95" t="s">
        <v>135</v>
      </c>
      <c r="J5" s="95" t="s">
        <v>141</v>
      </c>
      <c r="K5" s="118" t="str">
        <f>IF(Table1[[#This Row],[Has Parent]]="Yes",LOWER(SUBSTITUTE(Table1[[#This Row],[Parent entity name]]," ","-")),"")</f>
        <v>machine-configuration</v>
      </c>
      <c r="L5" s="33"/>
      <c r="M5" s="33"/>
      <c r="N5" s="98" t="s">
        <v>144</v>
      </c>
    </row>
    <row r="6" spans="2:16" ht="72" x14ac:dyDescent="0.3">
      <c r="B6" s="31">
        <v>5</v>
      </c>
      <c r="C6" s="31" t="s">
        <v>145</v>
      </c>
      <c r="D6" s="33" t="str">
        <f>Table1[[#This Row],[Data Domain]]</f>
        <v>beverage-production</v>
      </c>
      <c r="E6" s="33" t="str">
        <f>IF(Table1[[#This Row],[Has Parent]]="Yes",Table1[[#This Row],[Unique Domain Qualified Name]]&amp;"--"&amp;Table1[[#This Row],[Parent entity Qualified name]]&amp;"--"&amp;Table1[[#This Row],[Child entity qualified name2]],Table1[[#This Row],[Unique Domain Qualified Name]]&amp;"--"&amp;Table1[[#This Row],[Child entity qualified name2]])</f>
        <v>beverage-production--customized-beverage</v>
      </c>
      <c r="F6" s="120" t="s">
        <v>146</v>
      </c>
      <c r="G6" s="33" t="str">
        <f t="shared" si="0"/>
        <v>customized-beverage</v>
      </c>
      <c r="H6" s="93" t="s">
        <v>135</v>
      </c>
      <c r="I6" s="93" t="s">
        <v>136</v>
      </c>
      <c r="K6" s="118" t="str">
        <f>IF(Table1[[#This Row],[Has Parent]]="Yes",LOWER(SUBSTITUTE(Table1[[#This Row],[Parent entity name]]," ","-")),"")</f>
        <v/>
      </c>
      <c r="L6" s="33"/>
      <c r="M6" s="33"/>
      <c r="N6" s="96" t="s">
        <v>147</v>
      </c>
    </row>
    <row r="7" spans="2:16" ht="43.2" x14ac:dyDescent="0.3">
      <c r="B7" s="31">
        <v>6</v>
      </c>
      <c r="C7" s="31" t="s">
        <v>145</v>
      </c>
      <c r="D7" s="92" t="str">
        <f>Table1[[#This Row],[Data Domain]]</f>
        <v>beverage-production</v>
      </c>
      <c r="E7" s="33" t="str">
        <f>IF(Table1[[#This Row],[Has Parent]]="Yes",Table1[[#This Row],[Unique Domain Qualified Name]]&amp;"--"&amp;Table1[[#This Row],[Parent entity Qualified name]]&amp;"--"&amp;Table1[[#This Row],[Child entity qualified name2]],Table1[[#This Row],[Unique Domain Qualified Name]]&amp;"--"&amp;Table1[[#This Row],[Child entity qualified name2]])</f>
        <v>beverage-production--consumption-records</v>
      </c>
      <c r="F7" s="120" t="s">
        <v>148</v>
      </c>
      <c r="G7" s="33" t="str">
        <f t="shared" ref="G7:G12" si="1">SUBSTITUTE(SUBSTITUTE(SUBSTITUTE(SUBSTITUTE(LOWER(F7),"&amp;",""),"-",""),"  ","-")," ","-")</f>
        <v>consumption-records</v>
      </c>
      <c r="H7" s="95" t="s">
        <v>135</v>
      </c>
      <c r="I7" s="95" t="s">
        <v>136</v>
      </c>
      <c r="K7" s="118" t="str">
        <f>IF(Table1[[#This Row],[Has Parent]]="Yes",LOWER(SUBSTITUTE(Table1[[#This Row],[Parent entity name]]," ","-")),"")</f>
        <v/>
      </c>
      <c r="L7" s="33"/>
      <c r="M7" s="33"/>
      <c r="N7" s="99" t="s">
        <v>149</v>
      </c>
      <c r="O7" s="31"/>
      <c r="P7" s="31"/>
    </row>
    <row r="8" spans="2:16" ht="14.4" x14ac:dyDescent="0.3">
      <c r="B8">
        <v>7</v>
      </c>
      <c r="C8" s="31" t="s">
        <v>150</v>
      </c>
      <c r="D8" s="92" t="str">
        <f>Table1[[#This Row],[Data Domain]]</f>
        <v>sales</v>
      </c>
      <c r="E8" s="33" t="str">
        <f>IF(Table1[[#This Row],[Has Parent]]="Yes",Table1[[#This Row],[Unique Domain Qualified Name]]&amp;"--"&amp;Table1[[#This Row],[Parent entity Qualified name]]&amp;"--"&amp;Table1[[#This Row],[Child entity qualified name2]],Table1[[#This Row],[Unique Domain Qualified Name]]&amp;"--"&amp;Table1[[#This Row],[Child entity qualified name2]])</f>
        <v>sales--end-customer</v>
      </c>
      <c r="F8" s="120" t="s">
        <v>151</v>
      </c>
      <c r="G8" s="33" t="str">
        <f t="shared" si="1"/>
        <v>end-customer</v>
      </c>
      <c r="H8" s="93" t="s">
        <v>135</v>
      </c>
      <c r="I8" s="93" t="s">
        <v>136</v>
      </c>
      <c r="K8" s="118" t="str">
        <f>IF(Table1[[#This Row],[Has Parent]]="Yes",LOWER(SUBSTITUTE(Table1[[#This Row],[Parent entity name]]," ","-")),"")</f>
        <v/>
      </c>
      <c r="L8" s="33"/>
      <c r="M8" s="33"/>
      <c r="N8" s="100" t="s">
        <v>152</v>
      </c>
      <c r="O8" s="31"/>
      <c r="P8" s="31"/>
    </row>
    <row r="9" spans="2:16" ht="57.6" x14ac:dyDescent="0.3">
      <c r="B9">
        <v>8</v>
      </c>
      <c r="C9" s="31" t="s">
        <v>133</v>
      </c>
      <c r="D9" s="92" t="str">
        <f>Table1[[#This Row],[Data Domain]]</f>
        <v>coffee-machine</v>
      </c>
      <c r="E9"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coffee-machine--machine-configuration--canister-control</v>
      </c>
      <c r="F9" s="120" t="s">
        <v>153</v>
      </c>
      <c r="G9" s="33" t="str">
        <f t="shared" si="1"/>
        <v>canister-control</v>
      </c>
      <c r="H9" s="95" t="s">
        <v>136</v>
      </c>
      <c r="I9" s="95" t="s">
        <v>135</v>
      </c>
      <c r="J9" s="95" t="s">
        <v>141</v>
      </c>
      <c r="K9" s="118" t="str">
        <f>IF(Table1[[#This Row],[Has Parent]]="Yes",LOWER(SUBSTITUTE(Table1[[#This Row],[Parent entity name]]," ","-")),"")</f>
        <v>machine-configuration</v>
      </c>
      <c r="L9" s="33"/>
      <c r="M9" s="33"/>
      <c r="N9" s="98" t="s">
        <v>154</v>
      </c>
      <c r="O9" s="31"/>
      <c r="P9" s="31"/>
    </row>
    <row r="10" spans="2:16" ht="72" x14ac:dyDescent="0.3">
      <c r="B10">
        <v>9</v>
      </c>
      <c r="C10" s="31" t="s">
        <v>133</v>
      </c>
      <c r="D10" s="92" t="str">
        <f>Table1[[#This Row],[Data Domain]]</f>
        <v>coffee-machine</v>
      </c>
      <c r="E10"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v>
      </c>
      <c r="F10" s="120" t="s">
        <v>155</v>
      </c>
      <c r="G10" s="33" t="str">
        <f t="shared" si="1"/>
        <v>machine</v>
      </c>
      <c r="H10" s="93" t="s">
        <v>135</v>
      </c>
      <c r="I10" s="93" t="s">
        <v>136</v>
      </c>
      <c r="K10" s="118" t="str">
        <f>IF(Table1[[#This Row],[Has Parent]]="Yes",LOWER(SUBSTITUTE(Table1[[#This Row],[Parent entity name]]," ","-")),"")</f>
        <v/>
      </c>
      <c r="L10" s="33"/>
      <c r="M10" s="33"/>
      <c r="N10" s="101" t="s">
        <v>156</v>
      </c>
      <c r="O10" s="31"/>
      <c r="P10" s="31"/>
    </row>
    <row r="11" spans="2:16" ht="14.4" x14ac:dyDescent="0.3">
      <c r="B11" s="31">
        <v>10</v>
      </c>
      <c r="C11" s="31" t="s">
        <v>133</v>
      </c>
      <c r="D11" s="92" t="str">
        <f>Table1[[#This Row],[Data Domain]]</f>
        <v>coffee-machine</v>
      </c>
      <c r="E11"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v>
      </c>
      <c r="F11" s="120" t="s">
        <v>141</v>
      </c>
      <c r="G11" s="33" t="str">
        <f t="shared" si="1"/>
        <v>machine-configuration</v>
      </c>
      <c r="H11" s="95" t="s">
        <v>135</v>
      </c>
      <c r="I11" s="95" t="s">
        <v>136</v>
      </c>
      <c r="K11" s="118" t="str">
        <f>IF(Table1[[#This Row],[Has Parent]]="Yes",LOWER(SUBSTITUTE(Table1[[#This Row],[Parent entity name]]," ","-")),"")</f>
        <v/>
      </c>
      <c r="L11" s="33"/>
      <c r="M11" s="33"/>
      <c r="N11" s="99" t="s">
        <v>157</v>
      </c>
      <c r="O11" s="31"/>
      <c r="P11" s="31"/>
    </row>
    <row r="12" spans="2:16" ht="43.2" x14ac:dyDescent="0.3">
      <c r="B12" s="31">
        <v>11</v>
      </c>
      <c r="C12" s="31" t="s">
        <v>158</v>
      </c>
      <c r="D12" s="92" t="str">
        <f>Table1[[#This Row],[Data Domain]]</f>
        <v>product-asset-management</v>
      </c>
      <c r="E12" s="33" t="str">
        <f>IF(Table1[[#This Row],[Has Parent]]="Yes",Table1[[#This Row],[Unique Domain Qualified Name]]&amp;"--"&amp;Table1[[#This Row],[Parent entity Qualified name]]&amp;"--"&amp;Table1[[#This Row],[Child entity qualified name2]],Table1[[#This Row],[Unique Domain Qualified Name]]&amp;"--"&amp;Table1[[#This Row],[Child entity qualified name2]])</f>
        <v>product-asset-management--recipe-update</v>
      </c>
      <c r="F12" s="120" t="s">
        <v>159</v>
      </c>
      <c r="G12" s="33" t="str">
        <f t="shared" si="1"/>
        <v>recipe-update</v>
      </c>
      <c r="H12" s="93" t="s">
        <v>135</v>
      </c>
      <c r="I12" s="93" t="s">
        <v>136</v>
      </c>
      <c r="K12" s="118" t="str">
        <f>IF(Table1[[#This Row],[Has Parent]]="Yes",LOWER(SUBSTITUTE(Table1[[#This Row],[Parent entity name]]," ","-")),"")</f>
        <v/>
      </c>
      <c r="L12" s="33"/>
      <c r="M12" s="33"/>
      <c r="N12" s="97" t="s">
        <v>160</v>
      </c>
      <c r="O12" s="31"/>
      <c r="P12" s="31"/>
    </row>
  </sheetData>
  <phoneticPr fontId="3" type="noConversion"/>
  <conditionalFormatting sqref="J1:K12">
    <cfRule type="expression" dxfId="123" priority="2">
      <formula>$I1="No"</formula>
    </cfRule>
  </conditionalFormatting>
  <dataValidations count="6">
    <dataValidation type="list" allowBlank="1" showInputMessage="1" showErrorMessage="1" sqref="H2:I12" xr:uid="{9477104F-B9B7-42B6-9935-2FA48BCD1889}">
      <formula1>"Yes, No"</formula1>
    </dataValidation>
    <dataValidation type="custom" allowBlank="1" showInputMessage="1" showErrorMessage="1" sqref="L4" xr:uid="{084DE511-78F5-4A04-A1FB-45B75A6FE937}">
      <formula1>$I3&lt;&gt;"Yes"</formula1>
    </dataValidation>
    <dataValidation type="custom" allowBlank="1" showInputMessage="1" showErrorMessage="1" sqref="L3" xr:uid="{A662C423-2DCF-46B8-9BCE-079D2FEF1C82}">
      <formula1>#REF!&lt;&gt;"Yes"</formula1>
    </dataValidation>
    <dataValidation type="custom" allowBlank="1" showInputMessage="1" showErrorMessage="1" sqref="L5:L6" xr:uid="{57B225E9-B2A5-404A-A0F3-F18E05BC7842}">
      <formula1>$I5&lt;&gt;"Yes"</formula1>
    </dataValidation>
    <dataValidation allowBlank="1" showInputMessage="1" showErrorMessage="1" sqref="N6 K1:K1048576" xr:uid="{1583FC1D-07FE-458D-A7F4-C41B23A0106B}"/>
    <dataValidation type="list" allowBlank="1" showInputMessage="1" showErrorMessage="1" sqref="J2:J12" xr:uid="{A4714079-30EA-49AE-985E-58782DC3715C}">
      <formula1>$F$2:$F$12</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C2:C12</xm:sqref>
        </x14:dataValidation>
        <x14:dataValidation type="list" allowBlank="1" showInputMessage="1" showErrorMessage="1" xr:uid="{40C99E8F-7751-42AB-86CF-D5D8DB29E738}">
          <x14:formula1>
            <xm:f>'9. Person Table'!$D$2:$D$9</xm:f>
          </x14:formula1>
          <xm:sqref>O2:P12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72"/>
  <sheetViews>
    <sheetView zoomScaleNormal="100" workbookViewId="0">
      <selection activeCell="D27" sqref="D27"/>
    </sheetView>
  </sheetViews>
  <sheetFormatPr defaultRowHeight="14.4" x14ac:dyDescent="0.3"/>
  <cols>
    <col min="1" max="1" width="9.33203125" style="31"/>
    <col min="2" max="2" width="13.33203125" style="31" customWidth="1"/>
    <col min="3" max="3" width="24.109375" style="31" customWidth="1"/>
    <col min="4" max="4" width="66.33203125" style="31" customWidth="1"/>
    <col min="5" max="5" width="31.33203125" style="31" customWidth="1"/>
    <col min="6" max="6" width="29.33203125" style="31" bestFit="1" customWidth="1"/>
    <col min="7" max="7" width="39.33203125" style="31" bestFit="1" customWidth="1"/>
    <col min="8" max="8" width="109.33203125" style="31" bestFit="1" customWidth="1"/>
    <col min="9" max="9" width="171" style="31" bestFit="1" customWidth="1"/>
    <col min="10" max="13" width="26.6640625" style="31" customWidth="1"/>
    <col min="14" max="14" width="32.6640625" style="31" customWidth="1"/>
    <col min="15" max="15" width="42.33203125" style="31" bestFit="1" customWidth="1"/>
  </cols>
  <sheetData>
    <row r="1" spans="2:15" x14ac:dyDescent="0.3">
      <c r="B1" t="s">
        <v>15</v>
      </c>
      <c r="C1" s="30" t="s">
        <v>48</v>
      </c>
      <c r="D1" t="s">
        <v>161</v>
      </c>
      <c r="E1" t="s">
        <v>50</v>
      </c>
      <c r="F1" s="30" t="s">
        <v>162</v>
      </c>
      <c r="G1" s="30" t="s">
        <v>163</v>
      </c>
      <c r="H1" s="30" t="s">
        <v>52</v>
      </c>
      <c r="I1" t="s">
        <v>23</v>
      </c>
      <c r="J1" t="s">
        <v>54</v>
      </c>
      <c r="K1" t="s">
        <v>56</v>
      </c>
      <c r="L1" t="s">
        <v>58</v>
      </c>
      <c r="M1" t="s">
        <v>60</v>
      </c>
      <c r="N1" t="s">
        <v>42</v>
      </c>
      <c r="O1" t="s">
        <v>44</v>
      </c>
    </row>
    <row r="2" spans="2:15" x14ac:dyDescent="0.3">
      <c r="B2">
        <v>1</v>
      </c>
      <c r="C2" s="1" t="s">
        <v>146</v>
      </c>
      <c r="D2" t="s">
        <v>164</v>
      </c>
      <c r="E2" t="s">
        <v>165</v>
      </c>
      <c r="F2" s="18" t="str">
        <f>IF(RIGHT(Table3[[#This Row],[Attribute Name]],1)=" ",LEFT(Table3[[#This Row],[Attribute Name]],(LEN(Table3[[#This Row],[Attribute Name]]))-1),Table3[[#This Row],[Attribute Name]])</f>
        <v>beverage name</v>
      </c>
      <c r="G2" s="2" t="str">
        <f>SUBSTITUTE(SUBSTITUTE(SUBSTITUTE(SUBSTITUTE(LOWER(F2),"&amp;",""),"-",""),"  ","-")," ","-")</f>
        <v>beverage-name</v>
      </c>
      <c r="H2" s="33" t="str">
        <f>IF(Table3[[#This Row],[Unique entity qualified name]]&lt;&gt;"",Table3[[#This Row],[Unique entity qualified name]]&amp;"--"&amp;Table3[[#This Row],[Data attribute qualified name]],"")</f>
        <v>beverage-production--customized-beverage--beverage-name</v>
      </c>
      <c r="I2" s="89" t="s">
        <v>166</v>
      </c>
      <c r="J2" t="s">
        <v>167</v>
      </c>
      <c r="K2"/>
      <c r="L2"/>
      <c r="M2"/>
      <c r="N2"/>
      <c r="O2"/>
    </row>
    <row r="3" spans="2:15" x14ac:dyDescent="0.3">
      <c r="B3">
        <v>2</v>
      </c>
      <c r="C3" s="1" t="s">
        <v>146</v>
      </c>
      <c r="D3" t="s">
        <v>164</v>
      </c>
      <c r="E3" t="s">
        <v>168</v>
      </c>
      <c r="F3" s="18" t="str">
        <f>IF(RIGHT(Table3[[#This Row],[Attribute Name]],1)=" ",LEFT(Table3[[#This Row],[Attribute Name]],(LEN(Table3[[#This Row],[Attribute Name]]))-1),Table3[[#This Row],[Attribute Name]])</f>
        <v>volume</v>
      </c>
      <c r="G3" s="2" t="str">
        <f t="shared" ref="G3:G5" si="0">SUBSTITUTE(SUBSTITUTE(SUBSTITUTE(SUBSTITUTE(LOWER(F3),"&amp;",""),"-",""),"  ","-")," ","-")</f>
        <v>volume</v>
      </c>
      <c r="H3" s="33" t="str">
        <f>IF(Table3[[#This Row],[Unique entity qualified name]]&lt;&gt;"",Table3[[#This Row],[Unique entity qualified name]]&amp;"--"&amp;Table3[[#This Row],[Data attribute qualified name]],"")</f>
        <v>beverage-production--customized-beverage--volume</v>
      </c>
      <c r="I3" s="89" t="s">
        <v>169</v>
      </c>
      <c r="J3" t="s">
        <v>167</v>
      </c>
      <c r="K3"/>
      <c r="L3"/>
      <c r="M3"/>
      <c r="N3"/>
      <c r="O3"/>
    </row>
    <row r="4" spans="2:15" x14ac:dyDescent="0.3">
      <c r="B4">
        <v>3</v>
      </c>
      <c r="C4" s="1" t="s">
        <v>143</v>
      </c>
      <c r="D4" t="s">
        <v>170</v>
      </c>
      <c r="E4" t="s">
        <v>171</v>
      </c>
      <c r="F4" s="18" t="str">
        <f>IF(RIGHT(Table3[[#This Row],[Attribute Name]],1)=" ",LEFT(Table3[[#This Row],[Attribute Name]],(LEN(Table3[[#This Row],[Attribute Name]]))-1),Table3[[#This Row],[Attribute Name]])</f>
        <v>ml</v>
      </c>
      <c r="G4" s="2" t="str">
        <f t="shared" si="0"/>
        <v>ml</v>
      </c>
      <c r="H4" s="33" t="str">
        <f>IF(Table3[[#This Row],[Unique entity qualified name]]&lt;&gt;"",Table3[[#This Row],[Unique entity qualified name]]&amp;"--"&amp;Table3[[#This Row],[Data attribute qualified name]],"")</f>
        <v>coffee-machine--machine-configuration--machine-recipe--ml</v>
      </c>
      <c r="I4" s="90" t="s">
        <v>172</v>
      </c>
      <c r="J4" t="s">
        <v>173</v>
      </c>
      <c r="K4"/>
      <c r="L4"/>
      <c r="M4"/>
      <c r="N4"/>
      <c r="O4"/>
    </row>
    <row r="5" spans="2:15" x14ac:dyDescent="0.3">
      <c r="B5">
        <v>4</v>
      </c>
      <c r="C5" s="1" t="s">
        <v>146</v>
      </c>
      <c r="D5" t="s">
        <v>164</v>
      </c>
      <c r="E5" t="s">
        <v>174</v>
      </c>
      <c r="F5" s="18" t="str">
        <f>IF(RIGHT(Table3[[#This Row],[Attribute Name]],1)=" ",LEFT(Table3[[#This Row],[Attribute Name]],(LEN(Table3[[#This Row],[Attribute Name]]))-1),Table3[[#This Row],[Attribute Name]])</f>
        <v>strength</v>
      </c>
      <c r="G5" s="2" t="str">
        <f t="shared" si="0"/>
        <v>strength</v>
      </c>
      <c r="H5" s="33" t="str">
        <f>IF(Table3[[#This Row],[Unique entity qualified name]]&lt;&gt;"",Table3[[#This Row],[Unique entity qualified name]]&amp;"--"&amp;Table3[[#This Row],[Data attribute qualified name]],"")</f>
        <v>beverage-production--customized-beverage--strength</v>
      </c>
      <c r="I5" s="89" t="s">
        <v>175</v>
      </c>
      <c r="J5" t="s">
        <v>173</v>
      </c>
      <c r="K5"/>
      <c r="L5"/>
      <c r="M5"/>
      <c r="N5"/>
      <c r="O5"/>
    </row>
    <row r="6" spans="2:15" x14ac:dyDescent="0.3">
      <c r="B6">
        <v>5</v>
      </c>
      <c r="C6" s="1" t="s">
        <v>146</v>
      </c>
      <c r="D6" t="s">
        <v>164</v>
      </c>
      <c r="E6" t="s">
        <v>176</v>
      </c>
      <c r="F6" s="18" t="str">
        <f>IF(RIGHT(Table3[[#This Row],[Attribute Name]],1)=" ",LEFT(Table3[[#This Row],[Attribute Name]],(LEN(Table3[[#This Row],[Attribute Name]]))-1),Table3[[#This Row],[Attribute Name]])</f>
        <v>estimated brewing time</v>
      </c>
      <c r="G6" s="2" t="str">
        <f t="shared" ref="G6:G15" si="1">SUBSTITUTE(SUBSTITUTE(SUBSTITUTE(SUBSTITUTE(LOWER(F6),"&amp;",""),"-",""),"  ","-")," ","-")</f>
        <v>estimated-brewing-time</v>
      </c>
      <c r="H6" s="33" t="str">
        <f>IF(Table3[[#This Row],[Unique entity qualified name]]&lt;&gt;"",Table3[[#This Row],[Unique entity qualified name]]&amp;"--"&amp;Table3[[#This Row],[Data attribute qualified name]],"")</f>
        <v>beverage-production--customized-beverage--estimated-brewing-time</v>
      </c>
      <c r="I6" s="89" t="s">
        <v>177</v>
      </c>
      <c r="J6" t="s">
        <v>173</v>
      </c>
      <c r="K6"/>
      <c r="L6"/>
      <c r="M6"/>
      <c r="N6"/>
      <c r="O6"/>
    </row>
    <row r="7" spans="2:15" x14ac:dyDescent="0.3">
      <c r="B7">
        <v>6</v>
      </c>
      <c r="C7" s="1" t="s">
        <v>146</v>
      </c>
      <c r="D7" t="s">
        <v>164</v>
      </c>
      <c r="E7" t="s">
        <v>178</v>
      </c>
      <c r="F7" s="18" t="str">
        <f>IF(RIGHT(Table3[[#This Row],[Attribute Name]],1)=" ",LEFT(Table3[[#This Row],[Attribute Name]],(LEN(Table3[[#This Row],[Attribute Name]]))-1),Table3[[#This Row],[Attribute Name]])</f>
        <v>sugar</v>
      </c>
      <c r="G7" s="2" t="str">
        <f>SUBSTITUTE(SUBSTITUTE(SUBSTITUTE(SUBSTITUTE(LOWER(F7),"&amp;",""),"-",""),"  ","-")," ","-")</f>
        <v>sugar</v>
      </c>
      <c r="H7" s="33" t="str">
        <f>IF(Table3[[#This Row],[Unique entity qualified name]]&lt;&gt;"",Table3[[#This Row],[Unique entity qualified name]]&amp;"--"&amp;Table3[[#This Row],[Data attribute qualified name]],"")</f>
        <v>beverage-production--customized-beverage--sugar</v>
      </c>
      <c r="I7" s="89" t="s">
        <v>179</v>
      </c>
      <c r="J7" t="s">
        <v>173</v>
      </c>
      <c r="K7"/>
      <c r="L7"/>
      <c r="M7"/>
      <c r="N7"/>
      <c r="O7"/>
    </row>
    <row r="8" spans="2:15" x14ac:dyDescent="0.3">
      <c r="B8">
        <v>7</v>
      </c>
      <c r="C8" s="1" t="s">
        <v>146</v>
      </c>
      <c r="D8" t="s">
        <v>164</v>
      </c>
      <c r="E8" t="s">
        <v>180</v>
      </c>
      <c r="F8" s="18" t="str">
        <f>IF(RIGHT(Table3[[#This Row],[Attribute Name]],1)=" ",LEFT(Table3[[#This Row],[Attribute Name]],(LEN(Table3[[#This Row],[Attribute Name]]))-1),Table3[[#This Row],[Attribute Name]])</f>
        <v>topping</v>
      </c>
      <c r="G8" s="2" t="str">
        <f t="shared" ref="G8" si="2">SUBSTITUTE(SUBSTITUTE(SUBSTITUTE(SUBSTITUTE(LOWER(F8),"&amp;",""),"-",""),"  ","-")," ","-")</f>
        <v>topping</v>
      </c>
      <c r="H8" s="33" t="str">
        <f>IF(Table3[[#This Row],[Unique entity qualified name]]&lt;&gt;"",Table3[[#This Row],[Unique entity qualified name]]&amp;"--"&amp;Table3[[#This Row],[Data attribute qualified name]],"")</f>
        <v>beverage-production--customized-beverage--topping</v>
      </c>
      <c r="I8" s="89" t="s">
        <v>181</v>
      </c>
      <c r="J8" t="s">
        <v>173</v>
      </c>
      <c r="K8"/>
      <c r="L8"/>
      <c r="M8"/>
      <c r="N8"/>
      <c r="O8"/>
    </row>
    <row r="9" spans="2:15" x14ac:dyDescent="0.3">
      <c r="B9">
        <v>8</v>
      </c>
      <c r="C9" s="1" t="s">
        <v>148</v>
      </c>
      <c r="D9" t="s">
        <v>182</v>
      </c>
      <c r="E9" t="s">
        <v>183</v>
      </c>
      <c r="F9" s="18" t="str">
        <f>IF(RIGHT(Table3[[#This Row],[Attribute Name]],1)=" ",LEFT(Table3[[#This Row],[Attribute Name]],(LEN(Table3[[#This Row],[Attribute Name]]))-1),Table3[[#This Row],[Attribute Name]])</f>
        <v>small</v>
      </c>
      <c r="G9" s="2" t="str">
        <f>SUBSTITUTE(SUBSTITUTE(SUBSTITUTE(SUBSTITUTE(LOWER(F9),"&amp;",""),"-",""),"  ","-")," ","-")</f>
        <v>small</v>
      </c>
      <c r="H9" s="33" t="str">
        <f>IF(Table3[[#This Row],[Unique entity qualified name]]&lt;&gt;"",Table3[[#This Row],[Unique entity qualified name]]&amp;"--"&amp;Table3[[#This Row],[Data attribute qualified name]],"")</f>
        <v>beverage-production--consumption-records--small</v>
      </c>
      <c r="I9" s="89" t="s">
        <v>184</v>
      </c>
      <c r="J9" t="s">
        <v>173</v>
      </c>
      <c r="K9"/>
      <c r="L9"/>
      <c r="M9"/>
      <c r="N9"/>
      <c r="O9"/>
    </row>
    <row r="10" spans="2:15" x14ac:dyDescent="0.3">
      <c r="B10">
        <v>9</v>
      </c>
      <c r="C10" s="1" t="s">
        <v>148</v>
      </c>
      <c r="D10" t="s">
        <v>182</v>
      </c>
      <c r="E10" t="s">
        <v>185</v>
      </c>
      <c r="F10" s="18" t="str">
        <f>IF(RIGHT(Table3[[#This Row],[Attribute Name]],1)=" ",LEFT(Table3[[#This Row],[Attribute Name]],(LEN(Table3[[#This Row],[Attribute Name]]))-1),Table3[[#This Row],[Attribute Name]])</f>
        <v>medium</v>
      </c>
      <c r="G10" s="2" t="str">
        <f t="shared" ref="G10" si="3">SUBSTITUTE(SUBSTITUTE(SUBSTITUTE(SUBSTITUTE(LOWER(F10),"&amp;",""),"-",""),"  ","-")," ","-")</f>
        <v>medium</v>
      </c>
      <c r="H10" s="33" t="str">
        <f>IF(Table3[[#This Row],[Unique entity qualified name]]&lt;&gt;"",Table3[[#This Row],[Unique entity qualified name]]&amp;"--"&amp;Table3[[#This Row],[Data attribute qualified name]],"")</f>
        <v>beverage-production--consumption-records--medium</v>
      </c>
      <c r="I10" s="89" t="s">
        <v>186</v>
      </c>
      <c r="J10" t="s">
        <v>173</v>
      </c>
      <c r="K10"/>
      <c r="L10"/>
      <c r="M10"/>
      <c r="N10"/>
      <c r="O10"/>
    </row>
    <row r="11" spans="2:15" x14ac:dyDescent="0.3">
      <c r="B11">
        <v>10</v>
      </c>
      <c r="C11" s="1" t="s">
        <v>148</v>
      </c>
      <c r="D11" t="s">
        <v>182</v>
      </c>
      <c r="E11" t="s">
        <v>187</v>
      </c>
      <c r="F11" s="18" t="str">
        <f>IF(RIGHT(Table3[[#This Row],[Attribute Name]],1)=" ",LEFT(Table3[[#This Row],[Attribute Name]],(LEN(Table3[[#This Row],[Attribute Name]]))-1),Table3[[#This Row],[Attribute Name]])</f>
        <v>large</v>
      </c>
      <c r="G11" s="2" t="str">
        <f t="shared" si="1"/>
        <v>large</v>
      </c>
      <c r="H11" s="33" t="str">
        <f>IF(Table3[[#This Row],[Unique entity qualified name]]&lt;&gt;"",Table3[[#This Row],[Unique entity qualified name]]&amp;"--"&amp;Table3[[#This Row],[Data attribute qualified name]],"")</f>
        <v>beverage-production--consumption-records--large</v>
      </c>
      <c r="I11" s="89" t="s">
        <v>188</v>
      </c>
      <c r="J11" t="s">
        <v>173</v>
      </c>
      <c r="K11"/>
      <c r="L11"/>
      <c r="M11"/>
      <c r="N11"/>
      <c r="O11" s="91"/>
    </row>
    <row r="12" spans="2:15" x14ac:dyDescent="0.3">
      <c r="B12">
        <v>11</v>
      </c>
      <c r="C12" s="1" t="s">
        <v>148</v>
      </c>
      <c r="D12" t="s">
        <v>182</v>
      </c>
      <c r="E12" t="s">
        <v>189</v>
      </c>
      <c r="F12" s="18" t="str">
        <f>IF(RIGHT(Table3[[#This Row],[Attribute Name]],1)=" ",LEFT(Table3[[#This Row],[Attribute Name]],(LEN(Table3[[#This Row],[Attribute Name]]))-1),Table3[[#This Row],[Attribute Name]])</f>
        <v>total consumption</v>
      </c>
      <c r="G12" s="2" t="str">
        <f t="shared" si="1"/>
        <v>total-consumption</v>
      </c>
      <c r="H12" s="33" t="str">
        <f>IF(Table3[[#This Row],[Unique entity qualified name]]&lt;&gt;"",Table3[[#This Row],[Unique entity qualified name]]&amp;"--"&amp;Table3[[#This Row],[Data attribute qualified name]],"")</f>
        <v>beverage-production--consumption-records--total-consumption</v>
      </c>
      <c r="I12" s="89" t="s">
        <v>190</v>
      </c>
      <c r="J12" t="s">
        <v>173</v>
      </c>
      <c r="K12"/>
      <c r="L12"/>
      <c r="M12"/>
      <c r="N12"/>
      <c r="O12"/>
    </row>
    <row r="13" spans="2:15" x14ac:dyDescent="0.3">
      <c r="B13">
        <v>12</v>
      </c>
      <c r="C13" s="1" t="s">
        <v>134</v>
      </c>
      <c r="D13" t="s">
        <v>191</v>
      </c>
      <c r="E13" t="s">
        <v>192</v>
      </c>
      <c r="F13" s="18" t="str">
        <f>IF(RIGHT(Table3[[#This Row],[Attribute Name]],1)=" ",LEFT(Table3[[#This Row],[Attribute Name]],(LEN(Table3[[#This Row],[Attribute Name]]))-1),Table3[[#This Row],[Attribute Name]])</f>
        <v>active notifications</v>
      </c>
      <c r="G13" s="2" t="str">
        <f t="shared" si="1"/>
        <v>active-notifications</v>
      </c>
      <c r="H13" s="33" t="str">
        <f>IF(Table3[[#This Row],[Unique entity qualified name]]&lt;&gt;"",Table3[[#This Row],[Unique entity qualified name]]&amp;"--"&amp;Table3[[#This Row],[Data attribute qualified name]],"")</f>
        <v>coffee-machine--machine-events--active-notifications</v>
      </c>
      <c r="I13" s="89" t="s">
        <v>193</v>
      </c>
      <c r="J13" t="s">
        <v>194</v>
      </c>
      <c r="K13"/>
      <c r="L13"/>
      <c r="M13"/>
      <c r="N13"/>
      <c r="O13"/>
    </row>
    <row r="14" spans="2:15" x14ac:dyDescent="0.3">
      <c r="B14">
        <v>13</v>
      </c>
      <c r="C14" s="1" t="s">
        <v>138</v>
      </c>
      <c r="D14" t="s">
        <v>195</v>
      </c>
      <c r="E14" t="s">
        <v>196</v>
      </c>
      <c r="F14" s="18" t="str">
        <f>IF(RIGHT(Table3[[#This Row],[Attribute Name]],1)=" ",LEFT(Table3[[#This Row],[Attribute Name]],(LEN(Table3[[#This Row],[Attribute Name]]))-1),Table3[[#This Row],[Attribute Name]])</f>
        <v>latched notifications</v>
      </c>
      <c r="G14" s="2" t="str">
        <f t="shared" si="1"/>
        <v>latched-notifications</v>
      </c>
      <c r="H14" s="33" t="str">
        <f>IF(Table3[[#This Row],[Unique entity qualified name]]&lt;&gt;"",Table3[[#This Row],[Unique entity qualified name]]&amp;"--"&amp;Table3[[#This Row],[Data attribute qualified name]],"")</f>
        <v>coffee-machine--machine-state--latched-notifications</v>
      </c>
      <c r="I14" s="89" t="s">
        <v>197</v>
      </c>
      <c r="J14" t="s">
        <v>194</v>
      </c>
      <c r="K14"/>
      <c r="L14"/>
      <c r="M14"/>
      <c r="N14"/>
      <c r="O14"/>
    </row>
    <row r="15" spans="2:15" x14ac:dyDescent="0.3">
      <c r="B15">
        <v>14</v>
      </c>
      <c r="C15" s="1" t="s">
        <v>134</v>
      </c>
      <c r="D15" t="s">
        <v>191</v>
      </c>
      <c r="E15" t="s">
        <v>198</v>
      </c>
      <c r="F15" s="18" t="str">
        <f>IF(RIGHT(Table3[[#This Row],[Attribute Name]],1)=" ",LEFT(Table3[[#This Row],[Attribute Name]],(LEN(Table3[[#This Row],[Attribute Name]]))-1),Table3[[#This Row],[Attribute Name]])</f>
        <v>event ID</v>
      </c>
      <c r="G15" s="2" t="str">
        <f t="shared" si="1"/>
        <v>event-id</v>
      </c>
      <c r="H15" s="33" t="str">
        <f>IF(Table3[[#This Row],[Unique entity qualified name]]&lt;&gt;"",Table3[[#This Row],[Unique entity qualified name]]&amp;"--"&amp;Table3[[#This Row],[Data attribute qualified name]],"")</f>
        <v>coffee-machine--machine-events--event-id</v>
      </c>
      <c r="I15" s="89" t="s">
        <v>199</v>
      </c>
      <c r="J15" t="s">
        <v>194</v>
      </c>
      <c r="K15"/>
      <c r="L15"/>
      <c r="M15"/>
      <c r="N15"/>
      <c r="O15"/>
    </row>
    <row r="16" spans="2:15" x14ac:dyDescent="0.3">
      <c r="B16">
        <v>15</v>
      </c>
      <c r="C16" s="1" t="s">
        <v>134</v>
      </c>
      <c r="D16" t="s">
        <v>191</v>
      </c>
      <c r="E16" t="s">
        <v>200</v>
      </c>
      <c r="F16" s="18" t="str">
        <f>IF(RIGHT(Table3[[#This Row],[Attribute Name]],1)=" ",LEFT(Table3[[#This Row],[Attribute Name]],(LEN(Table3[[#This Row],[Attribute Name]]))-1),Table3[[#This Row],[Attribute Name]])</f>
        <v>action</v>
      </c>
      <c r="G16" s="2" t="str">
        <f t="shared" ref="G16:G17" si="4">SUBSTITUTE(SUBSTITUTE(SUBSTITUTE(SUBSTITUTE(LOWER(F16),"&amp;",""),"-",""),"  ","-")," ","-")</f>
        <v>action</v>
      </c>
      <c r="H16" s="33" t="str">
        <f>IF(Table3[[#This Row],[Unique entity qualified name]]&lt;&gt;"",Table3[[#This Row],[Unique entity qualified name]]&amp;"--"&amp;Table3[[#This Row],[Data attribute qualified name]],"")</f>
        <v>coffee-machine--machine-events--action</v>
      </c>
      <c r="I16" s="89" t="s">
        <v>201</v>
      </c>
      <c r="J16" t="s">
        <v>167</v>
      </c>
      <c r="K16"/>
      <c r="L16"/>
      <c r="M16"/>
      <c r="N16"/>
      <c r="O16"/>
    </row>
    <row r="17" spans="2:15" x14ac:dyDescent="0.3">
      <c r="B17">
        <v>16</v>
      </c>
      <c r="C17" s="1" t="s">
        <v>134</v>
      </c>
      <c r="D17" t="s">
        <v>191</v>
      </c>
      <c r="E17" t="s">
        <v>202</v>
      </c>
      <c r="F17" s="35" t="str">
        <f>IF(RIGHT(Table3[[#This Row],[Attribute Name]],1)=" ",LEFT(Table3[[#This Row],[Attribute Name]],(LEN(Table3[[#This Row],[Attribute Name]]))-1),Table3[[#This Row],[Attribute Name]])</f>
        <v>notification metadata</v>
      </c>
      <c r="G17" s="36" t="str">
        <f t="shared" si="4"/>
        <v>notification-metadata</v>
      </c>
      <c r="H17" s="33" t="str">
        <f>IF(Table3[[#This Row],[Unique entity qualified name]]&lt;&gt;"",Table3[[#This Row],[Unique entity qualified name]]&amp;"--"&amp;Table3[[#This Row],[Data attribute qualified name]],"")</f>
        <v>coffee-machine--machine-events--notification-metadata</v>
      </c>
      <c r="I17" s="89" t="s">
        <v>203</v>
      </c>
      <c r="J17" t="s">
        <v>167</v>
      </c>
      <c r="K17"/>
      <c r="L17"/>
      <c r="M17"/>
      <c r="N17"/>
      <c r="O17"/>
    </row>
    <row r="18" spans="2:15" x14ac:dyDescent="0.3">
      <c r="B18">
        <v>17</v>
      </c>
      <c r="C18" s="83" t="s">
        <v>143</v>
      </c>
      <c r="D18" t="s">
        <v>170</v>
      </c>
      <c r="E18" s="84" t="s">
        <v>204</v>
      </c>
      <c r="F18" s="18" t="str">
        <f>IF(RIGHT(Table3[[#This Row],[Attribute Name]],1)=" ",LEFT(Table3[[#This Row],[Attribute Name]],(LEN(Table3[[#This Row],[Attribute Name]]))-1),Table3[[#This Row],[Attribute Name]])</f>
        <v>procedure name</v>
      </c>
      <c r="G18" s="2" t="str">
        <f>SUBSTITUTE(SUBSTITUTE(SUBSTITUTE(SUBSTITUTE(LOWER(F18),"&amp;",""),"-",""),"  ","-")," ","-")</f>
        <v>procedure-name</v>
      </c>
      <c r="H18" s="33" t="str">
        <f>IF(Table3[[#This Row],[Unique entity qualified name]]&lt;&gt;"",Table3[[#This Row],[Unique entity qualified name]]&amp;"--"&amp;Table3[[#This Row],[Data attribute qualified name]],"")</f>
        <v>coffee-machine--machine-configuration--machine-recipe--procedure-name</v>
      </c>
      <c r="I18" s="89" t="s">
        <v>205</v>
      </c>
      <c r="J18" s="82" t="s">
        <v>167</v>
      </c>
      <c r="K18" s="82"/>
      <c r="L18" s="82"/>
      <c r="M18" s="82"/>
      <c r="N18" s="82"/>
      <c r="O18" s="82"/>
    </row>
    <row r="19" spans="2:15" x14ac:dyDescent="0.3">
      <c r="B19">
        <v>18</v>
      </c>
      <c r="C19" s="80" t="s">
        <v>143</v>
      </c>
      <c r="D19" t="s">
        <v>170</v>
      </c>
      <c r="E19" s="81" t="s">
        <v>206</v>
      </c>
      <c r="F19" s="18" t="str">
        <f>IF(RIGHT(Table3[[#This Row],[Attribute Name]],1)=" ",LEFT(Table3[[#This Row],[Attribute Name]],(LEN(Table3[[#This Row],[Attribute Name]]))-1),Table3[[#This Row],[Attribute Name]])</f>
        <v>estimated procedure time</v>
      </c>
      <c r="G19" s="2" t="str">
        <f t="shared" ref="G19" si="5">SUBSTITUTE(SUBSTITUTE(SUBSTITUTE(SUBSTITUTE(LOWER(F19),"&amp;",""),"-",""),"  ","-")," ","-")</f>
        <v>estimated-procedure-time</v>
      </c>
      <c r="H19" s="33" t="str">
        <f>IF(Table3[[#This Row],[Unique entity qualified name]]&lt;&gt;"",Table3[[#This Row],[Unique entity qualified name]]&amp;"--"&amp;Table3[[#This Row],[Data attribute qualified name]],"")</f>
        <v>coffee-machine--machine-configuration--machine-recipe--estimated-procedure-time</v>
      </c>
      <c r="I19" s="89" t="s">
        <v>207</v>
      </c>
      <c r="J19" s="1" t="s">
        <v>173</v>
      </c>
      <c r="K19" s="1"/>
      <c r="L19" s="1"/>
      <c r="M19" s="1"/>
      <c r="N19" s="1"/>
      <c r="O19" s="1"/>
    </row>
    <row r="20" spans="2:15" x14ac:dyDescent="0.3">
      <c r="B20">
        <v>19</v>
      </c>
      <c r="C20" s="83" t="s">
        <v>143</v>
      </c>
      <c r="D20" t="s">
        <v>170</v>
      </c>
      <c r="E20" s="84" t="s">
        <v>208</v>
      </c>
      <c r="F20" s="87" t="str">
        <f>IF(RIGHT(Table3[[#This Row],[Attribute Name]],1)=" ",LEFT(Table3[[#This Row],[Attribute Name]],(LEN(Table3[[#This Row],[Attribute Name]]))-1),Table3[[#This Row],[Attribute Name]])</f>
        <v>wait</v>
      </c>
      <c r="G20" s="2" t="str">
        <f>SUBSTITUTE(SUBSTITUTE(SUBSTITUTE(SUBSTITUTE(LOWER(F20),"&amp;",""),"-",""),"  ","-")," ","-")</f>
        <v>wait</v>
      </c>
      <c r="H20" s="105" t="str">
        <f>IF(Table3[[#This Row],[Unique entity qualified name]]&lt;&gt;"",Table3[[#This Row],[Unique entity qualified name]]&amp;"--"&amp;Table3[[#This Row],[Data attribute qualified name]],"")</f>
        <v>coffee-machine--machine-configuration--machine-recipe--wait</v>
      </c>
      <c r="I20" s="89" t="s">
        <v>209</v>
      </c>
      <c r="J20" s="82" t="s">
        <v>173</v>
      </c>
      <c r="K20" s="82"/>
      <c r="L20" s="82"/>
      <c r="M20" s="82"/>
      <c r="N20" s="82"/>
      <c r="O20" s="82"/>
    </row>
    <row r="21" spans="2:15" x14ac:dyDescent="0.3">
      <c r="B21">
        <v>20</v>
      </c>
      <c r="C21" s="83" t="s">
        <v>140</v>
      </c>
      <c r="D21" s="31" t="s">
        <v>210</v>
      </c>
      <c r="E21" s="84" t="s">
        <v>211</v>
      </c>
      <c r="F21" s="87" t="str">
        <f>IF(RIGHT(Table3[[#This Row],[Attribute Name]],1)=" ",LEFT(Table3[[#This Row],[Attribute Name]],(LEN(Table3[[#This Row],[Attribute Name]]))-1),Table3[[#This Row],[Attribute Name]])</f>
        <v>grinder channel ID</v>
      </c>
      <c r="G21" s="2" t="str">
        <f>SUBSTITUTE(SUBSTITUTE(SUBSTITUTE(SUBSTITUTE(LOWER(F21),"&amp;",""),"-",""),"  ","-")," ","-")</f>
        <v>grinder-channel-id</v>
      </c>
      <c r="H21" s="105" t="str">
        <f>IF(Table3[[#This Row],[Unique entity qualified name]]&lt;&gt;"",Table3[[#This Row],[Unique entity qualified name]]&amp;"--"&amp;Table3[[#This Row],[Data attribute qualified name]],"")</f>
        <v>coffee-machine--machine-configuration--grinder-control--grinder-channel-id</v>
      </c>
      <c r="I21" s="89" t="s">
        <v>212</v>
      </c>
      <c r="J21" s="82" t="s">
        <v>173</v>
      </c>
      <c r="K21" s="82"/>
      <c r="L21" s="82"/>
      <c r="M21" s="82"/>
      <c r="N21" s="82"/>
      <c r="O21" s="82"/>
    </row>
    <row r="22" spans="2:15" x14ac:dyDescent="0.3">
      <c r="B22">
        <v>21</v>
      </c>
      <c r="C22" s="83" t="s">
        <v>140</v>
      </c>
      <c r="D22" s="31" t="s">
        <v>210</v>
      </c>
      <c r="E22" s="84" t="s">
        <v>213</v>
      </c>
      <c r="F22" s="87" t="str">
        <f>IF(RIGHT(Table3[[#This Row],[Attribute Name]],1)=" ",LEFT(Table3[[#This Row],[Attribute Name]],(LEN(Table3[[#This Row],[Attribute Name]]))-1),Table3[[#This Row],[Attribute Name]])</f>
        <v>grinder calibration date</v>
      </c>
      <c r="G22" s="2" t="str">
        <f>SUBSTITUTE(SUBSTITUTE(SUBSTITUTE(SUBSTITUTE(LOWER(F22),"&amp;",""),"-",""),"  ","-")," ","-")</f>
        <v>grinder-calibration-date</v>
      </c>
      <c r="H22" s="105" t="str">
        <f>IF(Table3[[#This Row],[Unique entity qualified name]]&lt;&gt;"",Table3[[#This Row],[Unique entity qualified name]]&amp;"--"&amp;Table3[[#This Row],[Data attribute qualified name]],"")</f>
        <v>coffee-machine--machine-configuration--grinder-control--grinder-calibration-date</v>
      </c>
      <c r="I22" s="89" t="s">
        <v>214</v>
      </c>
      <c r="J22" s="82" t="s">
        <v>4</v>
      </c>
      <c r="K22" s="82"/>
      <c r="L22" s="82"/>
      <c r="M22" s="82"/>
      <c r="N22" s="82"/>
      <c r="O22" s="82"/>
    </row>
    <row r="23" spans="2:15" x14ac:dyDescent="0.3">
      <c r="B23">
        <v>22</v>
      </c>
      <c r="C23" s="80" t="s">
        <v>140</v>
      </c>
      <c r="D23" s="31" t="s">
        <v>210</v>
      </c>
      <c r="E23" s="81" t="s">
        <v>215</v>
      </c>
      <c r="F23" s="87" t="str">
        <f>IF(RIGHT(Table3[[#This Row],[Attribute Name]],1)=" ",LEFT(Table3[[#This Row],[Attribute Name]],(LEN(Table3[[#This Row],[Attribute Name]]))-1),Table3[[#This Row],[Attribute Name]])</f>
        <v>grinder ingredient ID</v>
      </c>
      <c r="G23" s="2" t="str">
        <f t="shared" ref="G23:G54" si="6">SUBSTITUTE(SUBSTITUTE(SUBSTITUTE(SUBSTITUTE(LOWER(F23),"&amp;",""),"-",""),"  ","-")," ","-")</f>
        <v>grinder-ingredient-id</v>
      </c>
      <c r="H23" s="33" t="str">
        <f>IF(Table3[[#This Row],[Unique entity qualified name]]&lt;&gt;"",Table3[[#This Row],[Unique entity qualified name]]&amp;"--"&amp;Table3[[#This Row],[Data attribute qualified name]],"")</f>
        <v>coffee-machine--machine-configuration--grinder-control--grinder-ingredient-id</v>
      </c>
      <c r="I23" s="103" t="s">
        <v>216</v>
      </c>
      <c r="J23" s="81" t="s">
        <v>167</v>
      </c>
      <c r="K23" s="1"/>
      <c r="L23" s="1"/>
      <c r="M23" s="1"/>
      <c r="N23" s="1"/>
      <c r="O23" s="1"/>
    </row>
    <row r="24" spans="2:15" x14ac:dyDescent="0.3">
      <c r="B24">
        <v>23</v>
      </c>
      <c r="C24" s="80" t="s">
        <v>140</v>
      </c>
      <c r="D24" s="31" t="s">
        <v>210</v>
      </c>
      <c r="E24" s="81" t="s">
        <v>217</v>
      </c>
      <c r="F24" s="87" t="str">
        <f>IF(RIGHT(Table3[[#This Row],[Attribute Name]],1)=" ",LEFT(Table3[[#This Row],[Attribute Name]],(LEN(Table3[[#This Row],[Attribute Name]]))-1),Table3[[#This Row],[Attribute Name]])</f>
        <v>component mapping</v>
      </c>
      <c r="G24" s="2" t="str">
        <f t="shared" si="6"/>
        <v>component-mapping</v>
      </c>
      <c r="H24" s="33" t="str">
        <f>IF(Table3[[#This Row],[Unique entity qualified name]]&lt;&gt;"",Table3[[#This Row],[Unique entity qualified name]]&amp;"--"&amp;Table3[[#This Row],[Data attribute qualified name]],"")</f>
        <v>coffee-machine--machine-configuration--grinder-control--component-mapping</v>
      </c>
      <c r="I24" s="103" t="s">
        <v>218</v>
      </c>
      <c r="J24" s="81" t="s">
        <v>167</v>
      </c>
      <c r="K24" s="1"/>
      <c r="L24" s="1"/>
      <c r="M24" s="1"/>
      <c r="N24" s="1"/>
      <c r="O24" s="1"/>
    </row>
    <row r="25" spans="2:15" x14ac:dyDescent="0.3">
      <c r="B25">
        <v>24</v>
      </c>
      <c r="C25" s="80" t="s">
        <v>140</v>
      </c>
      <c r="D25" s="31" t="s">
        <v>210</v>
      </c>
      <c r="E25" s="81" t="s">
        <v>219</v>
      </c>
      <c r="F25" s="87" t="str">
        <f>IF(RIGHT(Table3[[#This Row],[Attribute Name]],1)=" ",LEFT(Table3[[#This Row],[Attribute Name]],(LEN(Table3[[#This Row],[Attribute Name]]))-1),Table3[[#This Row],[Attribute Name]])</f>
        <v>grinder position number</v>
      </c>
      <c r="G25" s="2" t="str">
        <f t="shared" si="6"/>
        <v>grinder-position-number</v>
      </c>
      <c r="H25" s="33" t="str">
        <f>IF(Table3[[#This Row],[Unique entity qualified name]]&lt;&gt;"",Table3[[#This Row],[Unique entity qualified name]]&amp;"--"&amp;Table3[[#This Row],[Data attribute qualified name]],"")</f>
        <v>coffee-machine--machine-configuration--grinder-control--grinder-position-number</v>
      </c>
      <c r="I25" s="103" t="s">
        <v>220</v>
      </c>
      <c r="J25" s="81" t="s">
        <v>173</v>
      </c>
      <c r="K25" s="1"/>
      <c r="L25" s="1"/>
      <c r="M25" s="1"/>
      <c r="N25" s="1"/>
      <c r="O25" s="1"/>
    </row>
    <row r="26" spans="2:15" x14ac:dyDescent="0.3">
      <c r="B26">
        <v>25</v>
      </c>
      <c r="C26" s="80" t="s">
        <v>140</v>
      </c>
      <c r="D26" s="31" t="s">
        <v>210</v>
      </c>
      <c r="E26" s="81" t="s">
        <v>221</v>
      </c>
      <c r="F26" s="87" t="str">
        <f>IF(RIGHT(Table3[[#This Row],[Attribute Name]],1)=" ",LEFT(Table3[[#This Row],[Attribute Name]],(LEN(Table3[[#This Row],[Attribute Name]]))-1),Table3[[#This Row],[Attribute Name]])</f>
        <v>grinder label</v>
      </c>
      <c r="G26" s="2" t="str">
        <f t="shared" si="6"/>
        <v>grinder-label</v>
      </c>
      <c r="H26" s="33" t="str">
        <f>IF(Table3[[#This Row],[Unique entity qualified name]]&lt;&gt;"",Table3[[#This Row],[Unique entity qualified name]]&amp;"--"&amp;Table3[[#This Row],[Data attribute qualified name]],"")</f>
        <v>coffee-machine--machine-configuration--grinder-control--grinder-label</v>
      </c>
      <c r="I26" s="103" t="s">
        <v>222</v>
      </c>
      <c r="J26" s="81" t="s">
        <v>167</v>
      </c>
      <c r="K26" s="1"/>
      <c r="L26" s="1"/>
      <c r="M26" s="1"/>
      <c r="N26" s="1"/>
      <c r="O26" s="1"/>
    </row>
    <row r="27" spans="2:15" x14ac:dyDescent="0.3">
      <c r="B27">
        <v>26</v>
      </c>
      <c r="C27" s="80" t="s">
        <v>153</v>
      </c>
      <c r="D27" s="102" t="s">
        <v>223</v>
      </c>
      <c r="E27" s="81" t="s">
        <v>224</v>
      </c>
      <c r="F27" s="87" t="str">
        <f>IF(RIGHT(Table3[[#This Row],[Attribute Name]],1)=" ",LEFT(Table3[[#This Row],[Attribute Name]],(LEN(Table3[[#This Row],[Attribute Name]]))-1),Table3[[#This Row],[Attribute Name]])</f>
        <v>canister channel ID</v>
      </c>
      <c r="G27" s="2" t="str">
        <f t="shared" si="6"/>
        <v>canister-channel-id</v>
      </c>
      <c r="H27" s="33" t="str">
        <f>IF(Table3[[#This Row],[Unique entity qualified name]]&lt;&gt;"",Table3[[#This Row],[Unique entity qualified name]]&amp;"--"&amp;Table3[[#This Row],[Data attribute qualified name]],"")</f>
        <v>coffee-machine--machine-configuration--canister-control--canister-channel-id</v>
      </c>
      <c r="I27" s="103" t="s">
        <v>225</v>
      </c>
      <c r="J27" s="81" t="s">
        <v>173</v>
      </c>
      <c r="K27" s="1"/>
      <c r="L27" s="1"/>
      <c r="M27" s="1"/>
      <c r="N27" s="1"/>
      <c r="O27" s="1"/>
    </row>
    <row r="28" spans="2:15" x14ac:dyDescent="0.3">
      <c r="B28">
        <v>27</v>
      </c>
      <c r="C28" s="80" t="s">
        <v>153</v>
      </c>
      <c r="D28" s="102" t="s">
        <v>223</v>
      </c>
      <c r="E28" s="81" t="s">
        <v>226</v>
      </c>
      <c r="F28" s="87" t="str">
        <f>IF(RIGHT(Table3[[#This Row],[Attribute Name]],1)=" ",LEFT(Table3[[#This Row],[Attribute Name]],(LEN(Table3[[#This Row],[Attribute Name]]))-1),Table3[[#This Row],[Attribute Name]])</f>
        <v>canister calibration date</v>
      </c>
      <c r="G28" s="2" t="str">
        <f t="shared" si="6"/>
        <v>canister-calibration-date</v>
      </c>
      <c r="H28" s="33" t="str">
        <f>IF(Table3[[#This Row],[Unique entity qualified name]]&lt;&gt;"",Table3[[#This Row],[Unique entity qualified name]]&amp;"--"&amp;Table3[[#This Row],[Data attribute qualified name]],"")</f>
        <v>coffee-machine--machine-configuration--canister-control--canister-calibration-date</v>
      </c>
      <c r="I28" s="103" t="s">
        <v>227</v>
      </c>
      <c r="J28" s="81" t="s">
        <v>4</v>
      </c>
      <c r="K28" s="1"/>
      <c r="L28" s="1"/>
      <c r="M28" s="1"/>
      <c r="N28" s="1"/>
      <c r="O28" s="1"/>
    </row>
    <row r="29" spans="2:15" x14ac:dyDescent="0.3">
      <c r="B29">
        <v>28</v>
      </c>
      <c r="C29" s="80" t="s">
        <v>153</v>
      </c>
      <c r="D29" s="102" t="s">
        <v>223</v>
      </c>
      <c r="E29" s="81" t="s">
        <v>228</v>
      </c>
      <c r="F29" s="87" t="str">
        <f>IF(RIGHT(Table3[[#This Row],[Attribute Name]],1)=" ",LEFT(Table3[[#This Row],[Attribute Name]],(LEN(Table3[[#This Row],[Attribute Name]]))-1),Table3[[#This Row],[Attribute Name]])</f>
        <v>canister ingredient ID</v>
      </c>
      <c r="G29" s="2" t="str">
        <f t="shared" si="6"/>
        <v>canister-ingredient-id</v>
      </c>
      <c r="H29" s="33" t="str">
        <f>IF(Table3[[#This Row],[Unique entity qualified name]]&lt;&gt;"",Table3[[#This Row],[Unique entity qualified name]]&amp;"--"&amp;Table3[[#This Row],[Data attribute qualified name]],"")</f>
        <v>coffee-machine--machine-configuration--canister-control--canister-ingredient-id</v>
      </c>
      <c r="I29" s="103" t="s">
        <v>229</v>
      </c>
      <c r="J29" s="81" t="s">
        <v>167</v>
      </c>
      <c r="K29" s="1"/>
      <c r="L29" s="1"/>
      <c r="M29" s="1"/>
      <c r="N29" s="1"/>
      <c r="O29" s="1"/>
    </row>
    <row r="30" spans="2:15" x14ac:dyDescent="0.3">
      <c r="B30">
        <v>29</v>
      </c>
      <c r="C30" s="80" t="s">
        <v>153</v>
      </c>
      <c r="D30" s="102" t="s">
        <v>223</v>
      </c>
      <c r="E30" s="81" t="s">
        <v>230</v>
      </c>
      <c r="F30" s="87" t="str">
        <f>IF(RIGHT(Table3[[#This Row],[Attribute Name]],1)=" ",LEFT(Table3[[#This Row],[Attribute Name]],(LEN(Table3[[#This Row],[Attribute Name]]))-1),Table3[[#This Row],[Attribute Name]])</f>
        <v>mixer mapping</v>
      </c>
      <c r="G30" s="2" t="str">
        <f t="shared" si="6"/>
        <v>mixer-mapping</v>
      </c>
      <c r="H30" s="33" t="str">
        <f>IF(Table3[[#This Row],[Unique entity qualified name]]&lt;&gt;"",Table3[[#This Row],[Unique entity qualified name]]&amp;"--"&amp;Table3[[#This Row],[Data attribute qualified name]],"")</f>
        <v>coffee-machine--machine-configuration--canister-control--mixer-mapping</v>
      </c>
      <c r="I30" s="103" t="s">
        <v>231</v>
      </c>
      <c r="J30" s="81" t="s">
        <v>167</v>
      </c>
      <c r="K30" s="1"/>
      <c r="L30" s="1"/>
      <c r="M30" s="1"/>
      <c r="N30" s="1"/>
      <c r="O30" s="1"/>
    </row>
    <row r="31" spans="2:15" x14ac:dyDescent="0.3">
      <c r="B31">
        <v>30</v>
      </c>
      <c r="C31" s="80" t="s">
        <v>153</v>
      </c>
      <c r="D31" s="102" t="s">
        <v>223</v>
      </c>
      <c r="E31" s="81" t="s">
        <v>232</v>
      </c>
      <c r="F31" s="87" t="str">
        <f>IF(RIGHT(Table3[[#This Row],[Attribute Name]],1)=" ",LEFT(Table3[[#This Row],[Attribute Name]],(LEN(Table3[[#This Row],[Attribute Name]]))-1),Table3[[#This Row],[Attribute Name]])</f>
        <v>canister position number</v>
      </c>
      <c r="G31" s="2" t="str">
        <f t="shared" si="6"/>
        <v>canister-position-number</v>
      </c>
      <c r="H31" s="33" t="str">
        <f>IF(Table3[[#This Row],[Unique entity qualified name]]&lt;&gt;"",Table3[[#This Row],[Unique entity qualified name]]&amp;"--"&amp;Table3[[#This Row],[Data attribute qualified name]],"")</f>
        <v>coffee-machine--machine-configuration--canister-control--canister-position-number</v>
      </c>
      <c r="I31" s="103" t="s">
        <v>233</v>
      </c>
      <c r="J31" s="81" t="s">
        <v>173</v>
      </c>
      <c r="K31" s="1"/>
      <c r="L31" s="1"/>
      <c r="M31" s="1"/>
      <c r="N31" s="1"/>
      <c r="O31" s="1"/>
    </row>
    <row r="32" spans="2:15" x14ac:dyDescent="0.3">
      <c r="B32">
        <v>31</v>
      </c>
      <c r="C32" s="80" t="s">
        <v>153</v>
      </c>
      <c r="D32" s="102" t="s">
        <v>223</v>
      </c>
      <c r="E32" s="81" t="s">
        <v>234</v>
      </c>
      <c r="F32" s="87" t="str">
        <f>IF(RIGHT(Table3[[#This Row],[Attribute Name]],1)=" ",LEFT(Table3[[#This Row],[Attribute Name]],(LEN(Table3[[#This Row],[Attribute Name]]))-1),Table3[[#This Row],[Attribute Name]])</f>
        <v>canister outlet</v>
      </c>
      <c r="G32" s="2" t="str">
        <f t="shared" si="6"/>
        <v>canister-outlet</v>
      </c>
      <c r="H32" s="33" t="str">
        <f>IF(Table3[[#This Row],[Unique entity qualified name]]&lt;&gt;"",Table3[[#This Row],[Unique entity qualified name]]&amp;"--"&amp;Table3[[#This Row],[Data attribute qualified name]],"")</f>
        <v>coffee-machine--machine-configuration--canister-control--canister-outlet</v>
      </c>
      <c r="I32" s="103" t="s">
        <v>235</v>
      </c>
      <c r="J32" s="81" t="s">
        <v>173</v>
      </c>
      <c r="K32" s="1"/>
      <c r="L32" s="1"/>
      <c r="M32" s="1"/>
      <c r="N32" s="1"/>
      <c r="O32" s="1"/>
    </row>
    <row r="33" spans="2:15" x14ac:dyDescent="0.3">
      <c r="B33">
        <v>32</v>
      </c>
      <c r="C33" s="80" t="s">
        <v>153</v>
      </c>
      <c r="D33" s="102" t="s">
        <v>223</v>
      </c>
      <c r="E33" s="81" t="s">
        <v>236</v>
      </c>
      <c r="F33" s="87" t="str">
        <f>IF(RIGHT(Table3[[#This Row],[Attribute Name]],1)=" ",LEFT(Table3[[#This Row],[Attribute Name]],(LEN(Table3[[#This Row],[Attribute Name]]))-1),Table3[[#This Row],[Attribute Name]])</f>
        <v>canister type</v>
      </c>
      <c r="G33" s="2" t="str">
        <f t="shared" si="6"/>
        <v>canister-type</v>
      </c>
      <c r="H33" s="33" t="str">
        <f>IF(Table3[[#This Row],[Unique entity qualified name]]&lt;&gt;"",Table3[[#This Row],[Unique entity qualified name]]&amp;"--"&amp;Table3[[#This Row],[Data attribute qualified name]],"")</f>
        <v>coffee-machine--machine-configuration--canister-control--canister-type</v>
      </c>
      <c r="I33" s="103" t="s">
        <v>237</v>
      </c>
      <c r="J33" s="81" t="s">
        <v>167</v>
      </c>
      <c r="K33" s="1"/>
      <c r="L33" s="1"/>
      <c r="M33" s="1"/>
      <c r="N33" s="1"/>
      <c r="O33" s="1"/>
    </row>
    <row r="34" spans="2:15" x14ac:dyDescent="0.3">
      <c r="B34">
        <v>33</v>
      </c>
      <c r="C34" s="80" t="s">
        <v>153</v>
      </c>
      <c r="D34" s="102" t="s">
        <v>223</v>
      </c>
      <c r="E34" s="81" t="s">
        <v>238</v>
      </c>
      <c r="F34" s="87" t="str">
        <f>IF(RIGHT(Table3[[#This Row],[Attribute Name]],1)=" ",LEFT(Table3[[#This Row],[Attribute Name]],(LEN(Table3[[#This Row],[Attribute Name]]))-1),Table3[[#This Row],[Attribute Name]])</f>
        <v>canister label</v>
      </c>
      <c r="G34" s="2" t="str">
        <f t="shared" si="6"/>
        <v>canister-label</v>
      </c>
      <c r="H34" s="33" t="str">
        <f>IF(Table3[[#This Row],[Unique entity qualified name]]&lt;&gt;"",Table3[[#This Row],[Unique entity qualified name]]&amp;"--"&amp;Table3[[#This Row],[Data attribute qualified name]],"")</f>
        <v>coffee-machine--machine-configuration--canister-control--canister-label</v>
      </c>
      <c r="I34" s="103" t="s">
        <v>239</v>
      </c>
      <c r="J34" s="81" t="s">
        <v>167</v>
      </c>
      <c r="K34" s="1"/>
      <c r="L34" s="1"/>
      <c r="M34" s="1"/>
      <c r="N34" s="1"/>
      <c r="O34" s="1"/>
    </row>
    <row r="35" spans="2:15" x14ac:dyDescent="0.3">
      <c r="B35">
        <v>34</v>
      </c>
      <c r="C35" s="80" t="s">
        <v>141</v>
      </c>
      <c r="D35" s="102" t="s">
        <v>240</v>
      </c>
      <c r="E35" s="81" t="s">
        <v>241</v>
      </c>
      <c r="F35" s="87" t="str">
        <f>IF(RIGHT(Table3[[#This Row],[Attribute Name]],1)=" ",LEFT(Table3[[#This Row],[Attribute Name]],(LEN(Table3[[#This Row],[Attribute Name]]))-1),Table3[[#This Row],[Attribute Name]])</f>
        <v>beverage ID Bravilor</v>
      </c>
      <c r="G35" s="2" t="str">
        <f t="shared" si="6"/>
        <v>beverage-id-bravilor</v>
      </c>
      <c r="H35" s="33" t="str">
        <f>IF(Table3[[#This Row],[Unique entity qualified name]]&lt;&gt;"",Table3[[#This Row],[Unique entity qualified name]]&amp;"--"&amp;Table3[[#This Row],[Data attribute qualified name]],"")</f>
        <v>coffee-machine--machine-configuration--beverage-id-bravilor</v>
      </c>
      <c r="I35" s="103" t="s">
        <v>242</v>
      </c>
      <c r="J35" s="81" t="s">
        <v>194</v>
      </c>
      <c r="K35" s="1"/>
      <c r="L35" s="1"/>
      <c r="M35" s="1"/>
      <c r="N35" s="1"/>
      <c r="O35" s="1"/>
    </row>
    <row r="36" spans="2:15" x14ac:dyDescent="0.3">
      <c r="B36">
        <v>35</v>
      </c>
      <c r="C36" s="80" t="s">
        <v>141</v>
      </c>
      <c r="D36" s="102" t="s">
        <v>240</v>
      </c>
      <c r="E36" s="81" t="s">
        <v>243</v>
      </c>
      <c r="F36" s="87" t="str">
        <f>IF(RIGHT(Table3[[#This Row],[Attribute Name]],1)=" ",LEFT(Table3[[#This Row],[Attribute Name]],(LEN(Table3[[#This Row],[Attribute Name]]))-1),Table3[[#This Row],[Attribute Name]])</f>
        <v>beverage ID</v>
      </c>
      <c r="G36" s="2" t="str">
        <f t="shared" si="6"/>
        <v>beverage-id</v>
      </c>
      <c r="H36" s="33" t="str">
        <f>IF(Table3[[#This Row],[Unique entity qualified name]]&lt;&gt;"",Table3[[#This Row],[Unique entity qualified name]]&amp;"--"&amp;Table3[[#This Row],[Data attribute qualified name]],"")</f>
        <v>coffee-machine--machine-configuration--beverage-id</v>
      </c>
      <c r="I36" s="103" t="s">
        <v>244</v>
      </c>
      <c r="J36" s="81" t="s">
        <v>194</v>
      </c>
      <c r="K36" s="1"/>
      <c r="L36" s="1"/>
      <c r="M36" s="1"/>
      <c r="N36" s="1"/>
      <c r="O36" s="1"/>
    </row>
    <row r="37" spans="2:15" x14ac:dyDescent="0.3">
      <c r="B37">
        <v>36</v>
      </c>
      <c r="C37" s="80" t="s">
        <v>138</v>
      </c>
      <c r="D37" s="102" t="s">
        <v>195</v>
      </c>
      <c r="E37" s="81" t="s">
        <v>245</v>
      </c>
      <c r="F37" s="87" t="str">
        <f>IF(RIGHT(Table3[[#This Row],[Attribute Name]],1)=" ",LEFT(Table3[[#This Row],[Attribute Name]],(LEN(Table3[[#This Row],[Attribute Name]]))-1),Table3[[#This Row],[Attribute Name]])</f>
        <v>master state</v>
      </c>
      <c r="G37" s="2" t="str">
        <f t="shared" si="6"/>
        <v>master-state</v>
      </c>
      <c r="H37" s="33" t="str">
        <f>IF(Table3[[#This Row],[Unique entity qualified name]]&lt;&gt;"",Table3[[#This Row],[Unique entity qualified name]]&amp;"--"&amp;Table3[[#This Row],[Data attribute qualified name]],"")</f>
        <v>coffee-machine--machine-state--master-state</v>
      </c>
      <c r="I37" s="103" t="s">
        <v>246</v>
      </c>
      <c r="J37" s="81" t="s">
        <v>167</v>
      </c>
      <c r="K37" s="1"/>
      <c r="L37" s="1"/>
      <c r="M37" s="1"/>
      <c r="N37" s="1"/>
      <c r="O37" s="1"/>
    </row>
    <row r="38" spans="2:15" x14ac:dyDescent="0.3">
      <c r="B38">
        <v>37</v>
      </c>
      <c r="C38" s="80" t="s">
        <v>138</v>
      </c>
      <c r="D38" s="102" t="s">
        <v>195</v>
      </c>
      <c r="E38" s="81" t="s">
        <v>247</v>
      </c>
      <c r="F38" s="87" t="str">
        <f>IF(RIGHT(Table3[[#This Row],[Attribute Name]],1)=" ",LEFT(Table3[[#This Row],[Attribute Name]],(LEN(Table3[[#This Row],[Attribute Name]]))-1),Table3[[#This Row],[Attribute Name]])</f>
        <v>additional state info</v>
      </c>
      <c r="G38" s="2" t="str">
        <f t="shared" si="6"/>
        <v>additional-state-info</v>
      </c>
      <c r="H38" s="33" t="str">
        <f>IF(Table3[[#This Row],[Unique entity qualified name]]&lt;&gt;"",Table3[[#This Row],[Unique entity qualified name]]&amp;"--"&amp;Table3[[#This Row],[Data attribute qualified name]],"")</f>
        <v>coffee-machine--machine-state--additional-state-info</v>
      </c>
      <c r="I38" s="103" t="s">
        <v>248</v>
      </c>
      <c r="J38" s="81" t="s">
        <v>167</v>
      </c>
      <c r="K38" s="1"/>
      <c r="L38" s="1"/>
      <c r="M38" s="1"/>
      <c r="N38" s="1"/>
      <c r="O38" s="1"/>
    </row>
    <row r="39" spans="2:15" x14ac:dyDescent="0.3">
      <c r="B39">
        <v>38</v>
      </c>
      <c r="C39" s="80" t="s">
        <v>151</v>
      </c>
      <c r="D39" s="102" t="s">
        <v>249</v>
      </c>
      <c r="E39" s="81" t="s">
        <v>250</v>
      </c>
      <c r="F39" s="87" t="str">
        <f>IF(RIGHT(Table3[[#This Row],[Attribute Name]],1)=" ",LEFT(Table3[[#This Row],[Attribute Name]],(LEN(Table3[[#This Row],[Attribute Name]]))-1),Table3[[#This Row],[Attribute Name]])</f>
        <v>end customer name</v>
      </c>
      <c r="G39" s="2" t="str">
        <f t="shared" si="6"/>
        <v>end-customer-name</v>
      </c>
      <c r="H39" s="33" t="str">
        <f>IF(Table3[[#This Row],[Unique entity qualified name]]&lt;&gt;"",Table3[[#This Row],[Unique entity qualified name]]&amp;"--"&amp;Table3[[#This Row],[Data attribute qualified name]],"")</f>
        <v>sales--end-customer--end-customer-name</v>
      </c>
      <c r="I39" s="103" t="s">
        <v>251</v>
      </c>
      <c r="J39" s="81" t="s">
        <v>167</v>
      </c>
      <c r="K39" s="1"/>
      <c r="L39" s="1"/>
      <c r="M39" s="1"/>
      <c r="N39" s="1"/>
      <c r="O39" s="1"/>
    </row>
    <row r="40" spans="2:15" x14ac:dyDescent="0.3">
      <c r="B40">
        <v>39</v>
      </c>
      <c r="C40" s="80" t="s">
        <v>155</v>
      </c>
      <c r="D40" s="102" t="s">
        <v>252</v>
      </c>
      <c r="E40" s="81" t="s">
        <v>253</v>
      </c>
      <c r="F40" s="87" t="str">
        <f>IF(RIGHT(Table3[[#This Row],[Attribute Name]],1)=" ",LEFT(Table3[[#This Row],[Attribute Name]],(LEN(Table3[[#This Row],[Attribute Name]]))-1),Table3[[#This Row],[Attribute Name]])</f>
        <v>machine location</v>
      </c>
      <c r="G40" s="2" t="str">
        <f t="shared" si="6"/>
        <v>machine-location</v>
      </c>
      <c r="H40" s="33" t="str">
        <f>IF(Table3[[#This Row],[Unique entity qualified name]]&lt;&gt;"",Table3[[#This Row],[Unique entity qualified name]]&amp;"--"&amp;Table3[[#This Row],[Data attribute qualified name]],"")</f>
        <v>coffee-machine--machine--machine-location</v>
      </c>
      <c r="I40" s="103" t="s">
        <v>254</v>
      </c>
      <c r="J40" s="81" t="s">
        <v>167</v>
      </c>
      <c r="K40" s="1"/>
      <c r="L40" s="1"/>
      <c r="M40" s="1"/>
      <c r="N40" s="1"/>
      <c r="O40" s="1"/>
    </row>
    <row r="41" spans="2:15" x14ac:dyDescent="0.3">
      <c r="B41">
        <v>40</v>
      </c>
      <c r="C41" s="80" t="s">
        <v>155</v>
      </c>
      <c r="D41" s="102" t="s">
        <v>252</v>
      </c>
      <c r="E41" s="81" t="s">
        <v>255</v>
      </c>
      <c r="F41" s="87" t="str">
        <f>IF(RIGHT(Table3[[#This Row],[Attribute Name]],1)=" ",LEFT(Table3[[#This Row],[Attribute Name]],(LEN(Table3[[#This Row],[Attribute Name]]))-1),Table3[[#This Row],[Attribute Name]])</f>
        <v>machine name</v>
      </c>
      <c r="G41" s="2" t="str">
        <f t="shared" si="6"/>
        <v>machine-name</v>
      </c>
      <c r="H41" s="33" t="str">
        <f>IF(Table3[[#This Row],[Unique entity qualified name]]&lt;&gt;"",Table3[[#This Row],[Unique entity qualified name]]&amp;"--"&amp;Table3[[#This Row],[Data attribute qualified name]],"")</f>
        <v>coffee-machine--machine--machine-name</v>
      </c>
      <c r="I41" s="103" t="s">
        <v>256</v>
      </c>
      <c r="J41" s="81" t="s">
        <v>167</v>
      </c>
      <c r="K41" s="1"/>
      <c r="L41" s="1"/>
      <c r="M41" s="1"/>
      <c r="N41" s="1"/>
      <c r="O41" s="1"/>
    </row>
    <row r="42" spans="2:15" x14ac:dyDescent="0.3">
      <c r="B42">
        <v>41</v>
      </c>
      <c r="C42" s="80" t="s">
        <v>148</v>
      </c>
      <c r="D42" s="102" t="s">
        <v>182</v>
      </c>
      <c r="E42" s="81" t="s">
        <v>257</v>
      </c>
      <c r="F42" s="87" t="str">
        <f>IF(RIGHT(Table3[[#This Row],[Attribute Name]],1)=" ",LEFT(Table3[[#This Row],[Attribute Name]],(LEN(Table3[[#This Row],[Attribute Name]]))-1),Table3[[#This Row],[Attribute Name]])</f>
        <v>consumption record timestamp</v>
      </c>
      <c r="G42" s="2" t="str">
        <f t="shared" si="6"/>
        <v>consumption-record-timestamp</v>
      </c>
      <c r="H42" s="33" t="str">
        <f>IF(Table3[[#This Row],[Unique entity qualified name]]&lt;&gt;"",Table3[[#This Row],[Unique entity qualified name]]&amp;"--"&amp;Table3[[#This Row],[Data attribute qualified name]],"")</f>
        <v>beverage-production--consumption-records--consumption-record-timestamp</v>
      </c>
      <c r="I42" s="103" t="s">
        <v>258</v>
      </c>
      <c r="J42" s="81" t="s">
        <v>4</v>
      </c>
      <c r="K42" s="1"/>
      <c r="L42" s="1"/>
      <c r="M42" s="1"/>
      <c r="N42" s="1"/>
      <c r="O42" s="1"/>
    </row>
    <row r="43" spans="2:15" x14ac:dyDescent="0.3">
      <c r="B43">
        <v>42</v>
      </c>
      <c r="C43" s="80" t="s">
        <v>134</v>
      </c>
      <c r="D43" s="102" t="s">
        <v>191</v>
      </c>
      <c r="E43" s="81" t="s">
        <v>259</v>
      </c>
      <c r="F43" s="87" t="str">
        <f>IF(RIGHT(Table3[[#This Row],[Attribute Name]],1)=" ",LEFT(Table3[[#This Row],[Attribute Name]],(LEN(Table3[[#This Row],[Attribute Name]]))-1),Table3[[#This Row],[Attribute Name]])</f>
        <v>event name</v>
      </c>
      <c r="G43" s="2" t="str">
        <f t="shared" si="6"/>
        <v>event-name</v>
      </c>
      <c r="H43" s="33" t="str">
        <f>IF(Table3[[#This Row],[Unique entity qualified name]]&lt;&gt;"",Table3[[#This Row],[Unique entity qualified name]]&amp;"--"&amp;Table3[[#This Row],[Data attribute qualified name]],"")</f>
        <v>coffee-machine--machine-events--event-name</v>
      </c>
      <c r="I43" s="103" t="s">
        <v>260</v>
      </c>
      <c r="J43" s="81" t="s">
        <v>167</v>
      </c>
      <c r="K43" s="1"/>
      <c r="L43" s="1"/>
      <c r="M43" s="1"/>
      <c r="N43" s="1"/>
      <c r="O43" s="1"/>
    </row>
    <row r="44" spans="2:15" x14ac:dyDescent="0.3">
      <c r="B44">
        <v>43</v>
      </c>
      <c r="C44" s="80" t="s">
        <v>155</v>
      </c>
      <c r="D44" s="102" t="s">
        <v>252</v>
      </c>
      <c r="E44" s="81" t="s">
        <v>261</v>
      </c>
      <c r="F44" s="87" t="str">
        <f>IF(RIGHT(Table3[[#This Row],[Attribute Name]],1)=" ",LEFT(Table3[[#This Row],[Attribute Name]],(LEN(Table3[[#This Row],[Attribute Name]]))-1),Table3[[#This Row],[Attribute Name]])</f>
        <v>filtering tags</v>
      </c>
      <c r="G44" s="2" t="str">
        <f t="shared" si="6"/>
        <v>filtering-tags</v>
      </c>
      <c r="H44" s="33" t="str">
        <f>IF(Table3[[#This Row],[Unique entity qualified name]]&lt;&gt;"",Table3[[#This Row],[Unique entity qualified name]]&amp;"--"&amp;Table3[[#This Row],[Data attribute qualified name]],"")</f>
        <v>coffee-machine--machine--filtering-tags</v>
      </c>
      <c r="I44" s="103" t="s">
        <v>262</v>
      </c>
      <c r="J44" s="81" t="s">
        <v>167</v>
      </c>
      <c r="K44" s="1"/>
      <c r="L44" s="1"/>
      <c r="M44" s="1"/>
      <c r="N44" s="1"/>
      <c r="O44" s="1"/>
    </row>
    <row r="45" spans="2:15" x14ac:dyDescent="0.3">
      <c r="B45">
        <v>44</v>
      </c>
      <c r="C45" s="80" t="s">
        <v>155</v>
      </c>
      <c r="D45" s="102" t="s">
        <v>252</v>
      </c>
      <c r="E45" s="81" t="s">
        <v>263</v>
      </c>
      <c r="F45" s="87" t="str">
        <f>IF(RIGHT(Table3[[#This Row],[Attribute Name]],1)=" ",LEFT(Table3[[#This Row],[Attribute Name]],(LEN(Table3[[#This Row],[Attribute Name]]))-1),Table3[[#This Row],[Attribute Name]])</f>
        <v>sorting tags</v>
      </c>
      <c r="G45" s="2" t="str">
        <f t="shared" si="6"/>
        <v>sorting-tags</v>
      </c>
      <c r="H45" s="33" t="str">
        <f>IF(Table3[[#This Row],[Unique entity qualified name]]&lt;&gt;"",Table3[[#This Row],[Unique entity qualified name]]&amp;"--"&amp;Table3[[#This Row],[Data attribute qualified name]],"")</f>
        <v>coffee-machine--machine--sorting-tags</v>
      </c>
      <c r="I45" s="103" t="s">
        <v>264</v>
      </c>
      <c r="J45" s="81" t="s">
        <v>167</v>
      </c>
      <c r="K45" s="1"/>
      <c r="L45" s="1"/>
      <c r="M45" s="1"/>
      <c r="N45" s="1"/>
      <c r="O45" s="1"/>
    </row>
    <row r="46" spans="2:15" x14ac:dyDescent="0.3">
      <c r="B46">
        <v>45</v>
      </c>
      <c r="C46" s="80" t="s">
        <v>155</v>
      </c>
      <c r="D46" s="102" t="s">
        <v>252</v>
      </c>
      <c r="E46" s="81" t="s">
        <v>265</v>
      </c>
      <c r="F46" s="87" t="str">
        <f>IF(RIGHT(Table3[[#This Row],[Attribute Name]],1)=" ",LEFT(Table3[[#This Row],[Attribute Name]],(LEN(Table3[[#This Row],[Attribute Name]]))-1),Table3[[#This Row],[Attribute Name]])</f>
        <v>serial number</v>
      </c>
      <c r="G46" s="2" t="str">
        <f t="shared" si="6"/>
        <v>serial-number</v>
      </c>
      <c r="H46" s="33" t="str">
        <f>IF(Table3[[#This Row],[Unique entity qualified name]]&lt;&gt;"",Table3[[#This Row],[Unique entity qualified name]]&amp;"--"&amp;Table3[[#This Row],[Data attribute qualified name]],"")</f>
        <v>coffee-machine--machine--serial-number</v>
      </c>
      <c r="I46" s="103" t="s">
        <v>266</v>
      </c>
      <c r="J46" s="81" t="s">
        <v>167</v>
      </c>
      <c r="K46" s="1"/>
      <c r="L46" s="1"/>
      <c r="M46" s="1"/>
      <c r="N46" s="1"/>
      <c r="O46" s="1"/>
    </row>
    <row r="47" spans="2:15" x14ac:dyDescent="0.3">
      <c r="B47">
        <v>46</v>
      </c>
      <c r="C47" s="80" t="s">
        <v>134</v>
      </c>
      <c r="D47" s="102" t="s">
        <v>191</v>
      </c>
      <c r="E47" s="81" t="s">
        <v>267</v>
      </c>
      <c r="F47" s="87" t="str">
        <f>IF(RIGHT(Table3[[#This Row],[Attribute Name]],1)=" ",LEFT(Table3[[#This Row],[Attribute Name]],(LEN(Table3[[#This Row],[Attribute Name]]))-1),Table3[[#This Row],[Attribute Name]])</f>
        <v>event title</v>
      </c>
      <c r="G47" s="2" t="str">
        <f t="shared" si="6"/>
        <v>event-title</v>
      </c>
      <c r="H47" s="33" t="str">
        <f>IF(Table3[[#This Row],[Unique entity qualified name]]&lt;&gt;"",Table3[[#This Row],[Unique entity qualified name]]&amp;"--"&amp;Table3[[#This Row],[Data attribute qualified name]],"")</f>
        <v>coffee-machine--machine-events--event-title</v>
      </c>
      <c r="I47" s="103" t="s">
        <v>268</v>
      </c>
      <c r="J47" s="81" t="s">
        <v>167</v>
      </c>
      <c r="K47" s="1"/>
      <c r="L47" s="1"/>
      <c r="M47" s="1"/>
      <c r="N47" s="1"/>
      <c r="O47" s="1"/>
    </row>
    <row r="48" spans="2:15" x14ac:dyDescent="0.3">
      <c r="B48">
        <v>47</v>
      </c>
      <c r="C48" s="80" t="s">
        <v>138</v>
      </c>
      <c r="D48" s="102" t="s">
        <v>195</v>
      </c>
      <c r="E48" s="81" t="s">
        <v>269</v>
      </c>
      <c r="F48" s="87" t="str">
        <f>IF(RIGHT(Table3[[#This Row],[Attribute Name]],1)=" ",LEFT(Table3[[#This Row],[Attribute Name]],(LEN(Table3[[#This Row],[Attribute Name]]))-1),Table3[[#This Row],[Attribute Name]])</f>
        <v>total error count</v>
      </c>
      <c r="G48" s="2" t="str">
        <f t="shared" si="6"/>
        <v>total-error-count</v>
      </c>
      <c r="H48" s="33" t="str">
        <f>IF(Table3[[#This Row],[Unique entity qualified name]]&lt;&gt;"",Table3[[#This Row],[Unique entity qualified name]]&amp;"--"&amp;Table3[[#This Row],[Data attribute qualified name]],"")</f>
        <v>coffee-machine--machine-state--total-error-count</v>
      </c>
      <c r="I48" s="103" t="s">
        <v>270</v>
      </c>
      <c r="J48" s="81" t="s">
        <v>173</v>
      </c>
      <c r="K48" s="1"/>
      <c r="L48" s="1"/>
      <c r="M48" s="1"/>
      <c r="N48" s="1"/>
      <c r="O48" s="1"/>
    </row>
    <row r="49" spans="2:15" x14ac:dyDescent="0.3">
      <c r="B49">
        <v>48</v>
      </c>
      <c r="C49" s="80" t="s">
        <v>138</v>
      </c>
      <c r="D49" s="102" t="s">
        <v>195</v>
      </c>
      <c r="E49" s="81" t="s">
        <v>271</v>
      </c>
      <c r="F49" s="87" t="str">
        <f>IF(RIGHT(Table3[[#This Row],[Attribute Name]],1)=" ",LEFT(Table3[[#This Row],[Attribute Name]],(LEN(Table3[[#This Row],[Attribute Name]]))-1),Table3[[#This Row],[Attribute Name]])</f>
        <v>monthly error count</v>
      </c>
      <c r="G49" s="2" t="str">
        <f t="shared" si="6"/>
        <v>monthly-error-count</v>
      </c>
      <c r="H49" s="33" t="str">
        <f>IF(Table3[[#This Row],[Unique entity qualified name]]&lt;&gt;"",Table3[[#This Row],[Unique entity qualified name]]&amp;"--"&amp;Table3[[#This Row],[Data attribute qualified name]],"")</f>
        <v>coffee-machine--machine-state--monthly-error-count</v>
      </c>
      <c r="I49" s="103" t="s">
        <v>272</v>
      </c>
      <c r="J49" s="81" t="s">
        <v>173</v>
      </c>
      <c r="K49" s="1"/>
      <c r="L49" s="1"/>
      <c r="M49" s="1"/>
      <c r="N49" s="1"/>
      <c r="O49" s="1"/>
    </row>
    <row r="50" spans="2:15" x14ac:dyDescent="0.3">
      <c r="B50">
        <v>49</v>
      </c>
      <c r="C50" s="80" t="s">
        <v>148</v>
      </c>
      <c r="D50" s="102" t="s">
        <v>182</v>
      </c>
      <c r="E50" s="81" t="s">
        <v>273</v>
      </c>
      <c r="F50" s="87" t="str">
        <f>IF(RIGHT(Table3[[#This Row],[Attribute Name]],1)=" ",LEFT(Table3[[#This Row],[Attribute Name]],(LEN(Table3[[#This Row],[Attribute Name]]))-1),Table3[[#This Row],[Attribute Name]])</f>
        <v>beverage count</v>
      </c>
      <c r="G50" s="2" t="str">
        <f t="shared" si="6"/>
        <v>beverage-count</v>
      </c>
      <c r="H50" s="33" t="str">
        <f>IF(Table3[[#This Row],[Unique entity qualified name]]&lt;&gt;"",Table3[[#This Row],[Unique entity qualified name]]&amp;"--"&amp;Table3[[#This Row],[Data attribute qualified name]],"")</f>
        <v>beverage-production--consumption-records--beverage-count</v>
      </c>
      <c r="I50" s="103" t="s">
        <v>274</v>
      </c>
      <c r="J50" s="81" t="s">
        <v>173</v>
      </c>
      <c r="K50" s="1"/>
      <c r="L50" s="1"/>
      <c r="M50" s="1"/>
      <c r="N50" s="1"/>
      <c r="O50" s="1"/>
    </row>
    <row r="51" spans="2:15" x14ac:dyDescent="0.3">
      <c r="B51">
        <v>50</v>
      </c>
      <c r="C51" s="80" t="s">
        <v>148</v>
      </c>
      <c r="D51" s="102" t="s">
        <v>182</v>
      </c>
      <c r="E51" s="81" t="s">
        <v>275</v>
      </c>
      <c r="F51" s="87" t="str">
        <f>IF(RIGHT(Table3[[#This Row],[Attribute Name]],1)=" ",LEFT(Table3[[#This Row],[Attribute Name]],(LEN(Table3[[#This Row],[Attribute Name]]))-1),Table3[[#This Row],[Attribute Name]])</f>
        <v>customized beverage count</v>
      </c>
      <c r="G51" s="2" t="str">
        <f t="shared" si="6"/>
        <v>customized-beverage-count</v>
      </c>
      <c r="H51" s="33" t="str">
        <f>IF(Table3[[#This Row],[Unique entity qualified name]]&lt;&gt;"",Table3[[#This Row],[Unique entity qualified name]]&amp;"--"&amp;Table3[[#This Row],[Data attribute qualified name]],"")</f>
        <v>beverage-production--consumption-records--customized-beverage-count</v>
      </c>
      <c r="I51" s="103" t="s">
        <v>276</v>
      </c>
      <c r="J51" s="81" t="s">
        <v>173</v>
      </c>
      <c r="K51" s="1"/>
      <c r="L51" s="1"/>
      <c r="M51" s="1"/>
      <c r="N51" s="1"/>
      <c r="O51" s="1"/>
    </row>
    <row r="52" spans="2:15" x14ac:dyDescent="0.3">
      <c r="B52">
        <v>51</v>
      </c>
      <c r="C52" s="80" t="s">
        <v>138</v>
      </c>
      <c r="D52" s="102" t="s">
        <v>195</v>
      </c>
      <c r="E52" s="81" t="s">
        <v>277</v>
      </c>
      <c r="F52" s="87" t="str">
        <f>IF(RIGHT(Table3[[#This Row],[Attribute Name]],1)=" ",LEFT(Table3[[#This Row],[Attribute Name]],(LEN(Table3[[#This Row],[Attribute Name]]))-1),Table3[[#This Row],[Attribute Name]])</f>
        <v>event type</v>
      </c>
      <c r="G52" s="2" t="str">
        <f t="shared" si="6"/>
        <v>event-type</v>
      </c>
      <c r="H52" s="33" t="str">
        <f>IF(Table3[[#This Row],[Unique entity qualified name]]&lt;&gt;"",Table3[[#This Row],[Unique entity qualified name]]&amp;"--"&amp;Table3[[#This Row],[Data attribute qualified name]],"")</f>
        <v>coffee-machine--machine-state--event-type</v>
      </c>
      <c r="I52" s="103" t="s">
        <v>278</v>
      </c>
      <c r="J52" s="81" t="s">
        <v>167</v>
      </c>
      <c r="K52" s="1"/>
      <c r="L52" s="1"/>
      <c r="M52" s="1"/>
      <c r="N52" s="1"/>
      <c r="O52" s="1"/>
    </row>
    <row r="53" spans="2:15" x14ac:dyDescent="0.3">
      <c r="B53">
        <v>52</v>
      </c>
      <c r="C53" s="80" t="s">
        <v>138</v>
      </c>
      <c r="D53" s="102" t="s">
        <v>195</v>
      </c>
      <c r="E53" s="81" t="s">
        <v>279</v>
      </c>
      <c r="F53" s="87" t="str">
        <f>IF(RIGHT(Table3[[#This Row],[Attribute Name]],1)=" ",LEFT(Table3[[#This Row],[Attribute Name]],(LEN(Table3[[#This Row],[Attribute Name]]))-1),Table3[[#This Row],[Attribute Name]])</f>
        <v>event status</v>
      </c>
      <c r="G53" s="2" t="str">
        <f t="shared" si="6"/>
        <v>event-status</v>
      </c>
      <c r="H53" s="33" t="str">
        <f>IF(Table3[[#This Row],[Unique entity qualified name]]&lt;&gt;"",Table3[[#This Row],[Unique entity qualified name]]&amp;"--"&amp;Table3[[#This Row],[Data attribute qualified name]],"")</f>
        <v>coffee-machine--machine-state--event-status</v>
      </c>
      <c r="I53" s="103" t="s">
        <v>280</v>
      </c>
      <c r="J53" s="81" t="s">
        <v>167</v>
      </c>
      <c r="K53" s="1"/>
      <c r="L53" s="1"/>
      <c r="M53" s="1"/>
      <c r="N53" s="1"/>
      <c r="O53" s="1"/>
    </row>
    <row r="54" spans="2:15" x14ac:dyDescent="0.3">
      <c r="B54">
        <v>53</v>
      </c>
      <c r="C54" s="80" t="s">
        <v>155</v>
      </c>
      <c r="D54" s="102" t="s">
        <v>252</v>
      </c>
      <c r="E54" s="81" t="s">
        <v>281</v>
      </c>
      <c r="F54" s="87" t="str">
        <f>IF(RIGHT(Table3[[#This Row],[Attribute Name]],1)=" ",LEFT(Table3[[#This Row],[Attribute Name]],(LEN(Table3[[#This Row],[Attribute Name]]))-1),Table3[[#This Row],[Attribute Name]])</f>
        <v>machine customer ID</v>
      </c>
      <c r="G54" s="2" t="str">
        <f t="shared" si="6"/>
        <v>machine-customer-id</v>
      </c>
      <c r="H54" s="33" t="str">
        <f>IF(Table3[[#This Row],[Unique entity qualified name]]&lt;&gt;"",Table3[[#This Row],[Unique entity qualified name]]&amp;"--"&amp;Table3[[#This Row],[Data attribute qualified name]],"")</f>
        <v>coffee-machine--machine--machine-customer-id</v>
      </c>
      <c r="I54" s="103" t="s">
        <v>282</v>
      </c>
      <c r="J54" s="81" t="s">
        <v>167</v>
      </c>
      <c r="K54" s="1"/>
      <c r="L54" s="1"/>
      <c r="M54" s="1"/>
      <c r="N54" s="1"/>
      <c r="O54" s="1"/>
    </row>
    <row r="55" spans="2:15" x14ac:dyDescent="0.3">
      <c r="B55">
        <v>54</v>
      </c>
      <c r="C55" s="80" t="s">
        <v>155</v>
      </c>
      <c r="D55" s="102" t="s">
        <v>252</v>
      </c>
      <c r="E55" s="81" t="s">
        <v>283</v>
      </c>
      <c r="F55" s="87" t="str">
        <f>IF(RIGHT(Table3[[#This Row],[Attribute Name]],1)=" ",LEFT(Table3[[#This Row],[Attribute Name]],(LEN(Table3[[#This Row],[Attribute Name]]))-1),Table3[[#This Row],[Attribute Name]])</f>
        <v>mobile data usage</v>
      </c>
      <c r="G55" s="2" t="str">
        <f t="shared" ref="G55:G72" si="7">SUBSTITUTE(SUBSTITUTE(SUBSTITUTE(SUBSTITUTE(LOWER(F55),"&amp;",""),"-",""),"  ","-")," ","-")</f>
        <v>mobile-data-usage</v>
      </c>
      <c r="H55" s="33" t="str">
        <f>IF(Table3[[#This Row],[Unique entity qualified name]]&lt;&gt;"",Table3[[#This Row],[Unique entity qualified name]]&amp;"--"&amp;Table3[[#This Row],[Data attribute qualified name]],"")</f>
        <v>coffee-machine--machine--mobile-data-usage</v>
      </c>
      <c r="I55" s="103" t="s">
        <v>284</v>
      </c>
      <c r="J55" s="81" t="s">
        <v>167</v>
      </c>
      <c r="K55" s="1"/>
      <c r="L55" s="1"/>
      <c r="M55" s="1"/>
      <c r="N55" s="1"/>
      <c r="O55" s="1"/>
    </row>
    <row r="56" spans="2:15" x14ac:dyDescent="0.3">
      <c r="B56">
        <v>55</v>
      </c>
      <c r="C56" s="80" t="s">
        <v>155</v>
      </c>
      <c r="D56" s="102" t="s">
        <v>252</v>
      </c>
      <c r="E56" s="81" t="s">
        <v>285</v>
      </c>
      <c r="F56" s="87" t="str">
        <f>IF(RIGHT(Table3[[#This Row],[Attribute Name]],1)=" ",LEFT(Table3[[#This Row],[Attribute Name]],(LEN(Table3[[#This Row],[Attribute Name]]))-1),Table3[[#This Row],[Attribute Name]])</f>
        <v>pairing date</v>
      </c>
      <c r="G56" s="2" t="str">
        <f t="shared" si="7"/>
        <v>pairing-date</v>
      </c>
      <c r="H56" s="33" t="str">
        <f>IF(Table3[[#This Row],[Unique entity qualified name]]&lt;&gt;"",Table3[[#This Row],[Unique entity qualified name]]&amp;"--"&amp;Table3[[#This Row],[Data attribute qualified name]],"")</f>
        <v>coffee-machine--machine--pairing-date</v>
      </c>
      <c r="I56" s="103" t="s">
        <v>286</v>
      </c>
      <c r="J56" s="81" t="s">
        <v>4</v>
      </c>
      <c r="K56" s="1"/>
      <c r="L56" s="1"/>
      <c r="M56" s="1"/>
      <c r="N56" s="1"/>
      <c r="O56" s="1"/>
    </row>
    <row r="57" spans="2:15" x14ac:dyDescent="0.3">
      <c r="B57">
        <v>56</v>
      </c>
      <c r="C57" s="80" t="s">
        <v>155</v>
      </c>
      <c r="D57" s="102" t="s">
        <v>252</v>
      </c>
      <c r="E57" s="81" t="s">
        <v>287</v>
      </c>
      <c r="F57" s="87" t="str">
        <f>IF(RIGHT(Table3[[#This Row],[Attribute Name]],1)=" ",LEFT(Table3[[#This Row],[Attribute Name]],(LEN(Table3[[#This Row],[Attribute Name]]))-1),Table3[[#This Row],[Attribute Name]])</f>
        <v>machine ID</v>
      </c>
      <c r="G57" s="2" t="str">
        <f t="shared" si="7"/>
        <v>machine-id</v>
      </c>
      <c r="H57" s="33" t="str">
        <f>IF(Table3[[#This Row],[Unique entity qualified name]]&lt;&gt;"",Table3[[#This Row],[Unique entity qualified name]]&amp;"--"&amp;Table3[[#This Row],[Data attribute qualified name]],"")</f>
        <v>coffee-machine--machine--machine-id</v>
      </c>
      <c r="I57" s="103" t="s">
        <v>288</v>
      </c>
      <c r="J57" s="81" t="s">
        <v>167</v>
      </c>
      <c r="K57" s="1"/>
      <c r="L57" s="1"/>
      <c r="M57" s="1"/>
      <c r="N57" s="1"/>
      <c r="O57" s="1"/>
    </row>
    <row r="58" spans="2:15" x14ac:dyDescent="0.3">
      <c r="B58">
        <v>57</v>
      </c>
      <c r="C58" s="80" t="s">
        <v>155</v>
      </c>
      <c r="D58" s="102" t="s">
        <v>252</v>
      </c>
      <c r="E58" s="81" t="s">
        <v>289</v>
      </c>
      <c r="F58" s="87" t="str">
        <f>IF(RIGHT(Table3[[#This Row],[Attribute Name]],1)=" ",LEFT(Table3[[#This Row],[Attribute Name]],(LEN(Table3[[#This Row],[Attribute Name]]))-1),Table3[[#This Row],[Attribute Name]])</f>
        <v>distributor ID</v>
      </c>
      <c r="G58" s="2" t="str">
        <f t="shared" si="7"/>
        <v>distributor-id</v>
      </c>
      <c r="H58" s="33" t="str">
        <f>IF(Table3[[#This Row],[Unique entity qualified name]]&lt;&gt;"",Table3[[#This Row],[Unique entity qualified name]]&amp;"--"&amp;Table3[[#This Row],[Data attribute qualified name]],"")</f>
        <v>coffee-machine--machine--distributor-id</v>
      </c>
      <c r="I58" s="103" t="s">
        <v>290</v>
      </c>
      <c r="J58" s="81" t="s">
        <v>167</v>
      </c>
      <c r="K58" s="1"/>
      <c r="L58" s="1"/>
      <c r="M58" s="1"/>
      <c r="N58" s="1"/>
      <c r="O58" s="1"/>
    </row>
    <row r="59" spans="2:15" x14ac:dyDescent="0.3">
      <c r="B59">
        <v>58</v>
      </c>
      <c r="C59" s="80" t="s">
        <v>134</v>
      </c>
      <c r="D59" s="102" t="s">
        <v>191</v>
      </c>
      <c r="E59" s="81" t="s">
        <v>291</v>
      </c>
      <c r="F59" s="87" t="str">
        <f>IF(RIGHT(Table3[[#This Row],[Attribute Name]],1)=" ",LEFT(Table3[[#This Row],[Attribute Name]],(LEN(Table3[[#This Row],[Attribute Name]]))-1),Table3[[#This Row],[Attribute Name]])</f>
        <v>event storage time</v>
      </c>
      <c r="G59" s="2" t="str">
        <f t="shared" si="7"/>
        <v>event-storage-time</v>
      </c>
      <c r="H59" s="33" t="str">
        <f>IF(Table3[[#This Row],[Unique entity qualified name]]&lt;&gt;"",Table3[[#This Row],[Unique entity qualified name]]&amp;"--"&amp;Table3[[#This Row],[Data attribute qualified name]],"")</f>
        <v>coffee-machine--machine-events--event-storage-time</v>
      </c>
      <c r="I59" s="103" t="s">
        <v>292</v>
      </c>
      <c r="J59" s="81" t="s">
        <v>4</v>
      </c>
      <c r="K59" s="1"/>
      <c r="L59" s="1"/>
      <c r="M59" s="1"/>
      <c r="N59" s="1"/>
      <c r="O59" s="1"/>
    </row>
    <row r="60" spans="2:15" x14ac:dyDescent="0.3">
      <c r="B60">
        <v>59</v>
      </c>
      <c r="C60" s="80" t="s">
        <v>134</v>
      </c>
      <c r="D60" s="102" t="s">
        <v>191</v>
      </c>
      <c r="E60" s="81" t="s">
        <v>293</v>
      </c>
      <c r="F60" s="87" t="str">
        <f>IF(RIGHT(Table3[[#This Row],[Attribute Name]],1)=" ",LEFT(Table3[[#This Row],[Attribute Name]],(LEN(Table3[[#This Row],[Attribute Name]]))-1),Table3[[#This Row],[Attribute Name]])</f>
        <v>event occurrence time</v>
      </c>
      <c r="G60" s="2" t="str">
        <f t="shared" si="7"/>
        <v>event-occurrence-time</v>
      </c>
      <c r="H60" s="33" t="str">
        <f>IF(Table3[[#This Row],[Unique entity qualified name]]&lt;&gt;"",Table3[[#This Row],[Unique entity qualified name]]&amp;"--"&amp;Table3[[#This Row],[Data attribute qualified name]],"")</f>
        <v>coffee-machine--machine-events--event-occurrence-time</v>
      </c>
      <c r="I60" s="103" t="s">
        <v>294</v>
      </c>
      <c r="J60" s="81" t="s">
        <v>4</v>
      </c>
      <c r="K60" s="1"/>
      <c r="L60" s="1"/>
      <c r="M60" s="1"/>
      <c r="N60" s="1"/>
      <c r="O60" s="1"/>
    </row>
    <row r="61" spans="2:15" x14ac:dyDescent="0.3">
      <c r="B61">
        <v>60</v>
      </c>
      <c r="C61" s="80" t="s">
        <v>148</v>
      </c>
      <c r="D61" s="102" t="s">
        <v>182</v>
      </c>
      <c r="E61" s="81" t="s">
        <v>295</v>
      </c>
      <c r="F61" s="87" t="str">
        <f>IF(RIGHT(Table3[[#This Row],[Attribute Name]],1)=" ",LEFT(Table3[[#This Row],[Attribute Name]],(LEN(Table3[[#This Row],[Attribute Name]]))-1),Table3[[#This Row],[Attribute Name]])</f>
        <v>hourly beverage count</v>
      </c>
      <c r="G61" s="2" t="str">
        <f t="shared" si="7"/>
        <v>hourly-beverage-count</v>
      </c>
      <c r="H61" s="33" t="str">
        <f>IF(Table3[[#This Row],[Unique entity qualified name]]&lt;&gt;"",Table3[[#This Row],[Unique entity qualified name]]&amp;"--"&amp;Table3[[#This Row],[Data attribute qualified name]],"")</f>
        <v>beverage-production--consumption-records--hourly-beverage-count</v>
      </c>
      <c r="I61" s="103" t="s">
        <v>296</v>
      </c>
      <c r="J61" s="81" t="s">
        <v>173</v>
      </c>
      <c r="K61" s="1"/>
      <c r="L61" s="1"/>
      <c r="M61" s="1"/>
      <c r="N61" s="1"/>
      <c r="O61" s="1"/>
    </row>
    <row r="62" spans="2:15" x14ac:dyDescent="0.3">
      <c r="B62">
        <v>61</v>
      </c>
      <c r="C62" s="80" t="s">
        <v>134</v>
      </c>
      <c r="D62" s="102" t="s">
        <v>191</v>
      </c>
      <c r="E62" s="81" t="s">
        <v>297</v>
      </c>
      <c r="F62" s="87" t="str">
        <f>IF(RIGHT(Table3[[#This Row],[Attribute Name]],1)=" ",LEFT(Table3[[#This Row],[Attribute Name]],(LEN(Table3[[#This Row],[Attribute Name]]))-1),Table3[[#This Row],[Attribute Name]])</f>
        <v>hour start time</v>
      </c>
      <c r="G62" s="2" t="str">
        <f t="shared" si="7"/>
        <v>hour-start-time</v>
      </c>
      <c r="H62" s="33" t="str">
        <f>IF(Table3[[#This Row],[Unique entity qualified name]]&lt;&gt;"",Table3[[#This Row],[Unique entity qualified name]]&amp;"--"&amp;Table3[[#This Row],[Data attribute qualified name]],"")</f>
        <v>coffee-machine--machine-events--hour-start-time</v>
      </c>
      <c r="I62" s="103" t="s">
        <v>298</v>
      </c>
      <c r="J62" s="81" t="s">
        <v>4</v>
      </c>
      <c r="K62" s="1"/>
      <c r="L62" s="1"/>
      <c r="M62" s="1"/>
      <c r="N62" s="1"/>
      <c r="O62" s="1"/>
    </row>
    <row r="63" spans="2:15" x14ac:dyDescent="0.3">
      <c r="B63">
        <v>62</v>
      </c>
      <c r="C63" s="80" t="s">
        <v>148</v>
      </c>
      <c r="D63" s="102" t="s">
        <v>182</v>
      </c>
      <c r="E63" s="81" t="s">
        <v>299</v>
      </c>
      <c r="F63" s="87" t="str">
        <f>IF(RIGHT(Table3[[#This Row],[Attribute Name]],1)=" ",LEFT(Table3[[#This Row],[Attribute Name]],(LEN(Table3[[#This Row],[Attribute Name]]))-1),Table3[[#This Row],[Attribute Name]])</f>
        <v>aggregation time</v>
      </c>
      <c r="G63" s="2" t="str">
        <f t="shared" si="7"/>
        <v>aggregation-time</v>
      </c>
      <c r="H63" s="33" t="str">
        <f>IF(Table3[[#This Row],[Unique entity qualified name]]&lt;&gt;"",Table3[[#This Row],[Unique entity qualified name]]&amp;"--"&amp;Table3[[#This Row],[Data attribute qualified name]],"")</f>
        <v>beverage-production--consumption-records--aggregation-time</v>
      </c>
      <c r="I63" s="103" t="s">
        <v>300</v>
      </c>
      <c r="J63" s="81" t="s">
        <v>4</v>
      </c>
      <c r="K63" s="1"/>
      <c r="L63" s="1"/>
      <c r="M63" s="1"/>
      <c r="N63" s="1"/>
      <c r="O63" s="1"/>
    </row>
    <row r="64" spans="2:15" x14ac:dyDescent="0.3">
      <c r="B64">
        <v>63</v>
      </c>
      <c r="C64" s="80" t="s">
        <v>159</v>
      </c>
      <c r="D64" s="102" t="s">
        <v>301</v>
      </c>
      <c r="E64" s="81" t="s">
        <v>302</v>
      </c>
      <c r="F64" s="87" t="str">
        <f>IF(RIGHT(Table3[[#This Row],[Attribute Name]],1)=" ",LEFT(Table3[[#This Row],[Attribute Name]],(LEN(Table3[[#This Row],[Attribute Name]]))-1),Table3[[#This Row],[Attribute Name]])</f>
        <v>update notification ID</v>
      </c>
      <c r="G64" s="2" t="str">
        <f t="shared" si="7"/>
        <v>update-notification-id</v>
      </c>
      <c r="H64" s="33" t="str">
        <f>IF(Table3[[#This Row],[Unique entity qualified name]]&lt;&gt;"",Table3[[#This Row],[Unique entity qualified name]]&amp;"--"&amp;Table3[[#This Row],[Data attribute qualified name]],"")</f>
        <v>product-asset-management--recipe-update--update-notification-id</v>
      </c>
      <c r="I64" s="103" t="s">
        <v>303</v>
      </c>
      <c r="J64" s="81" t="s">
        <v>167</v>
      </c>
      <c r="K64" s="1"/>
      <c r="L64" s="1"/>
      <c r="M64" s="1"/>
      <c r="N64" s="1"/>
      <c r="O64" s="1"/>
    </row>
    <row r="65" spans="2:15" x14ac:dyDescent="0.3">
      <c r="B65">
        <v>64</v>
      </c>
      <c r="C65" s="80" t="s">
        <v>159</v>
      </c>
      <c r="D65" s="102" t="s">
        <v>301</v>
      </c>
      <c r="E65" s="81" t="s">
        <v>304</v>
      </c>
      <c r="F65" s="87" t="str">
        <f>IF(RIGHT(Table3[[#This Row],[Attribute Name]],1)=" ",LEFT(Table3[[#This Row],[Attribute Name]],(LEN(Table3[[#This Row],[Attribute Name]]))-1),Table3[[#This Row],[Attribute Name]])</f>
        <v>notification sent time</v>
      </c>
      <c r="G65" s="2" t="str">
        <f t="shared" si="7"/>
        <v>notification-sent-time</v>
      </c>
      <c r="H65" s="33" t="str">
        <f>IF(Table3[[#This Row],[Unique entity qualified name]]&lt;&gt;"",Table3[[#This Row],[Unique entity qualified name]]&amp;"--"&amp;Table3[[#This Row],[Data attribute qualified name]],"")</f>
        <v>product-asset-management--recipe-update--notification-sent-time</v>
      </c>
      <c r="I65" s="103" t="s">
        <v>305</v>
      </c>
      <c r="J65" s="81" t="s">
        <v>4</v>
      </c>
      <c r="K65" s="1"/>
      <c r="L65" s="1"/>
      <c r="M65" s="1"/>
      <c r="N65" s="1"/>
      <c r="O65" s="1"/>
    </row>
    <row r="66" spans="2:15" x14ac:dyDescent="0.3">
      <c r="B66">
        <v>65</v>
      </c>
      <c r="C66" s="80" t="s">
        <v>143</v>
      </c>
      <c r="D66" s="102" t="s">
        <v>170</v>
      </c>
      <c r="E66" s="81" t="s">
        <v>306</v>
      </c>
      <c r="F66" s="87" t="str">
        <f>IF(RIGHT(Table3[[#This Row],[Attribute Name]],1)=" ",LEFT(Table3[[#This Row],[Attribute Name]],(LEN(Table3[[#This Row],[Attribute Name]]))-1),Table3[[#This Row],[Attribute Name]])</f>
        <v>recipe ID</v>
      </c>
      <c r="G66" s="2" t="str">
        <f t="shared" si="7"/>
        <v>recipe-id</v>
      </c>
      <c r="H66" s="33" t="str">
        <f>IF(Table3[[#This Row],[Unique entity qualified name]]&lt;&gt;"",Table3[[#This Row],[Unique entity qualified name]]&amp;"--"&amp;Table3[[#This Row],[Data attribute qualified name]],"")</f>
        <v>coffee-machine--machine-configuration--machine-recipe--recipe-id</v>
      </c>
      <c r="I66" s="103" t="s">
        <v>307</v>
      </c>
      <c r="J66" s="81" t="s">
        <v>167</v>
      </c>
      <c r="K66" s="1"/>
      <c r="L66" s="1"/>
      <c r="M66" s="1"/>
      <c r="N66" s="1"/>
      <c r="O66" s="1"/>
    </row>
    <row r="67" spans="2:15" x14ac:dyDescent="0.3">
      <c r="B67">
        <v>66</v>
      </c>
      <c r="C67" s="80" t="s">
        <v>159</v>
      </c>
      <c r="D67" s="102" t="s">
        <v>301</v>
      </c>
      <c r="E67" s="81" t="s">
        <v>308</v>
      </c>
      <c r="F67" s="87" t="str">
        <f>IF(RIGHT(Table3[[#This Row],[Attribute Name]],1)=" ",LEFT(Table3[[#This Row],[Attribute Name]],(LEN(Table3[[#This Row],[Attribute Name]]))-1),Table3[[#This Row],[Attribute Name]])</f>
        <v>recipe target version</v>
      </c>
      <c r="G67" s="2" t="str">
        <f t="shared" si="7"/>
        <v>recipe-target-version</v>
      </c>
      <c r="H67" s="33" t="str">
        <f>IF(Table3[[#This Row],[Unique entity qualified name]]&lt;&gt;"",Table3[[#This Row],[Unique entity qualified name]]&amp;"--"&amp;Table3[[#This Row],[Data attribute qualified name]],"")</f>
        <v>product-asset-management--recipe-update--recipe-target-version</v>
      </c>
      <c r="I67" s="103" t="s">
        <v>309</v>
      </c>
      <c r="J67" s="81" t="s">
        <v>167</v>
      </c>
      <c r="K67" s="1"/>
      <c r="L67" s="1"/>
      <c r="M67" s="1"/>
      <c r="N67" s="1"/>
      <c r="O67" s="1"/>
    </row>
    <row r="68" spans="2:15" x14ac:dyDescent="0.3">
      <c r="B68">
        <v>67</v>
      </c>
      <c r="C68" s="80" t="s">
        <v>159</v>
      </c>
      <c r="D68" s="102" t="s">
        <v>301</v>
      </c>
      <c r="E68" s="81" t="s">
        <v>310</v>
      </c>
      <c r="F68" s="87" t="str">
        <f>IF(RIGHT(Table3[[#This Row],[Attribute Name]],1)=" ",LEFT(Table3[[#This Row],[Attribute Name]],(LEN(Table3[[#This Row],[Attribute Name]]))-1),Table3[[#This Row],[Attribute Name]])</f>
        <v>update artifact location</v>
      </c>
      <c r="G68" s="2" t="str">
        <f t="shared" si="7"/>
        <v>update-artifact-location</v>
      </c>
      <c r="H68" s="33" t="str">
        <f>IF(Table3[[#This Row],[Unique entity qualified name]]&lt;&gt;"",Table3[[#This Row],[Unique entity qualified name]]&amp;"--"&amp;Table3[[#This Row],[Data attribute qualified name]],"")</f>
        <v>product-asset-management--recipe-update--update-artifact-location</v>
      </c>
      <c r="I68" s="103" t="s">
        <v>311</v>
      </c>
      <c r="J68" s="81" t="s">
        <v>167</v>
      </c>
      <c r="K68" s="1"/>
      <c r="L68" s="1"/>
      <c r="M68" s="1"/>
      <c r="N68" s="1"/>
      <c r="O68" s="1"/>
    </row>
    <row r="69" spans="2:15" ht="27.6" x14ac:dyDescent="0.3">
      <c r="B69">
        <v>68</v>
      </c>
      <c r="C69" s="80" t="s">
        <v>159</v>
      </c>
      <c r="D69" s="102" t="s">
        <v>301</v>
      </c>
      <c r="E69" s="81" t="s">
        <v>312</v>
      </c>
      <c r="F69" s="87" t="str">
        <f>IF(RIGHT(Table3[[#This Row],[Attribute Name]],1)=" ",LEFT(Table3[[#This Row],[Attribute Name]],(LEN(Table3[[#This Row],[Attribute Name]]))-1),Table3[[#This Row],[Attribute Name]])</f>
        <v>update artifact checksum</v>
      </c>
      <c r="G69" s="2" t="str">
        <f t="shared" si="7"/>
        <v>update-artifact-checksum</v>
      </c>
      <c r="H69" s="33" t="str">
        <f>IF(Table3[[#This Row],[Unique entity qualified name]]&lt;&gt;"",Table3[[#This Row],[Unique entity qualified name]]&amp;"--"&amp;Table3[[#This Row],[Data attribute qualified name]],"")</f>
        <v>product-asset-management--recipe-update--update-artifact-checksum</v>
      </c>
      <c r="I69" s="103" t="s">
        <v>313</v>
      </c>
      <c r="J69" s="81" t="s">
        <v>167</v>
      </c>
      <c r="K69" s="1"/>
      <c r="L69" s="1"/>
      <c r="M69" s="1"/>
      <c r="N69" s="1"/>
      <c r="O69" s="1"/>
    </row>
    <row r="70" spans="2:15" x14ac:dyDescent="0.3">
      <c r="B70">
        <v>69</v>
      </c>
      <c r="C70" s="80" t="s">
        <v>159</v>
      </c>
      <c r="D70" s="102" t="s">
        <v>301</v>
      </c>
      <c r="E70" s="81" t="s">
        <v>314</v>
      </c>
      <c r="F70" s="87" t="str">
        <f>IF(RIGHT(Table3[[#This Row],[Attribute Name]],1)=" ",LEFT(Table3[[#This Row],[Attribute Name]],(LEN(Table3[[#This Row],[Attribute Name]]))-1),Table3[[#This Row],[Attribute Name]])</f>
        <v>update artifact size</v>
      </c>
      <c r="G70" s="2" t="str">
        <f t="shared" si="7"/>
        <v>update-artifact-size</v>
      </c>
      <c r="H70" s="33" t="str">
        <f>IF(Table3[[#This Row],[Unique entity qualified name]]&lt;&gt;"",Table3[[#This Row],[Unique entity qualified name]]&amp;"--"&amp;Table3[[#This Row],[Data attribute qualified name]],"")</f>
        <v>product-asset-management--recipe-update--update-artifact-size</v>
      </c>
      <c r="I70" s="103" t="s">
        <v>315</v>
      </c>
      <c r="J70" s="81" t="s">
        <v>173</v>
      </c>
      <c r="K70" s="1"/>
      <c r="L70" s="1"/>
      <c r="M70" s="1"/>
      <c r="N70" s="1"/>
      <c r="O70" s="1"/>
    </row>
    <row r="71" spans="2:15" x14ac:dyDescent="0.3">
      <c r="B71">
        <v>70</v>
      </c>
      <c r="C71" s="80" t="s">
        <v>159</v>
      </c>
      <c r="D71" s="102" t="s">
        <v>301</v>
      </c>
      <c r="E71" s="81" t="s">
        <v>316</v>
      </c>
      <c r="F71" s="87" t="str">
        <f>IF(RIGHT(Table3[[#This Row],[Attribute Name]],1)=" ",LEFT(Table3[[#This Row],[Attribute Name]],(LEN(Table3[[#This Row],[Attribute Name]]))-1),Table3[[#This Row],[Attribute Name]])</f>
        <v>update mandatory</v>
      </c>
      <c r="G71" s="2" t="str">
        <f t="shared" si="7"/>
        <v>update-mandatory</v>
      </c>
      <c r="H71" s="33" t="str">
        <f>IF(Table3[[#This Row],[Unique entity qualified name]]&lt;&gt;"",Table3[[#This Row],[Unique entity qualified name]]&amp;"--"&amp;Table3[[#This Row],[Data attribute qualified name]],"")</f>
        <v>product-asset-management--recipe-update--update-mandatory</v>
      </c>
      <c r="I71" s="103" t="s">
        <v>317</v>
      </c>
      <c r="J71" s="81" t="s">
        <v>167</v>
      </c>
      <c r="K71" s="1"/>
      <c r="L71" s="1"/>
      <c r="M71" s="1"/>
      <c r="N71" s="1"/>
      <c r="O71" s="1"/>
    </row>
    <row r="72" spans="2:15" x14ac:dyDescent="0.3">
      <c r="B72">
        <v>71</v>
      </c>
      <c r="C72" s="83" t="s">
        <v>159</v>
      </c>
      <c r="D72" s="102" t="s">
        <v>301</v>
      </c>
      <c r="E72" s="84" t="s">
        <v>318</v>
      </c>
      <c r="F72" s="87" t="str">
        <f>IF(RIGHT(Table3[[#This Row],[Attribute Name]],1)=" ",LEFT(Table3[[#This Row],[Attribute Name]],(LEN(Table3[[#This Row],[Attribute Name]]))-1),Table3[[#This Row],[Attribute Name]])</f>
        <v>update notes</v>
      </c>
      <c r="G72" s="2" t="str">
        <f t="shared" si="7"/>
        <v>update-notes</v>
      </c>
      <c r="H72" s="33" t="str">
        <f>IF(Table3[[#This Row],[Unique entity qualified name]]&lt;&gt;"",Table3[[#This Row],[Unique entity qualified name]]&amp;"--"&amp;Table3[[#This Row],[Data attribute qualified name]],"")</f>
        <v>product-asset-management--recipe-update--update-notes</v>
      </c>
      <c r="I72" s="104" t="s">
        <v>319</v>
      </c>
      <c r="J72" s="84" t="s">
        <v>167</v>
      </c>
      <c r="K72" s="82"/>
      <c r="L72" s="82"/>
      <c r="M72" s="82"/>
      <c r="N72" s="82"/>
      <c r="O72" s="82"/>
    </row>
  </sheetData>
  <dataConsolidate/>
  <phoneticPr fontId="3" type="noConversion"/>
  <conditionalFormatting sqref="H2 H6 H11:H19">
    <cfRule type="cellIs" dxfId="105" priority="8" operator="notEqual">
      <formula>""""""</formula>
    </cfRule>
  </conditionalFormatting>
  <conditionalFormatting sqref="H7:H8">
    <cfRule type="cellIs" dxfId="104" priority="7" operator="notEqual">
      <formula>""""""</formula>
    </cfRule>
  </conditionalFormatting>
  <conditionalFormatting sqref="H9:H10">
    <cfRule type="cellIs" dxfId="103" priority="6" operator="notEqual">
      <formula>""""""</formula>
    </cfRule>
  </conditionalFormatting>
  <conditionalFormatting sqref="H3:H5">
    <cfRule type="cellIs" dxfId="102" priority="2" operator="notEqual">
      <formula>""""""</formula>
    </cfRule>
  </conditionalFormatting>
  <dataValidations count="4">
    <dataValidation type="list" allowBlank="1" showInputMessage="1" showErrorMessage="1" sqref="L2:L72" xr:uid="{0746EC8E-9B35-4EE9-ABEA-786F1F95B162}">
      <formula1>"Low,Medium,High"</formula1>
    </dataValidation>
    <dataValidation type="list" allowBlank="1" showInputMessage="1" showErrorMessage="1" sqref="M2:M7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376B835-9A12-485E-B34B-2D8907F210F2}">
          <x14:formula1>
            <xm:f>'9. Person Table'!$D$2:$D$6</xm:f>
          </x14:formula1>
          <xm:sqref>N12:O22 N11 N2:O10</xm:sqref>
        </x14:dataValidation>
        <x14:dataValidation type="list" allowBlank="1" showInputMessage="1" showErrorMessage="1" xr:uid="{BF8FCBC4-779F-4D4F-ADD9-A1028361BC40}">
          <x14:formula1>
            <xm:f>'2. L2 Data Entities'!$E:$E</xm:f>
          </x14:formula1>
          <xm:sqref>D73:D1048576</xm:sqref>
        </x14:dataValidation>
        <x14:dataValidation type="list" allowBlank="1" showInputMessage="1" showErrorMessage="1" xr:uid="{C407BF55-A04E-41B3-96CA-6A341B24E95C}">
          <x14:formula1>
            <xm:f>'2. L2 Data Entities'!$F$2:$F$12</xm:f>
          </x14:formula1>
          <xm:sqref>C2:C72</xm:sqref>
        </x14:dataValidation>
        <x14:dataValidation type="list" allowBlank="1" showInputMessage="1" showErrorMessage="1" xr:uid="{287AC597-B913-4995-A23A-879F478ED6EF}">
          <x14:formula1>
            <xm:f>'2. L2 Data Entities'!$E$2:$E$12</xm:f>
          </x14:formula1>
          <xm:sqref>D2:D72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36"/>
  <sheetViews>
    <sheetView zoomScale="115" zoomScaleNormal="115" workbookViewId="0">
      <selection activeCell="Q2" sqref="Q2"/>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41.5546875" style="31" bestFit="1" customWidth="1"/>
    <col min="8" max="8" width="37.33203125" style="33" bestFit="1" customWidth="1"/>
    <col min="9" max="9" width="34.109375" style="31" customWidth="1"/>
    <col min="10" max="10" width="53.44140625" style="33" customWidth="1"/>
    <col min="11" max="11" width="76.109375" style="33" bestFit="1" customWidth="1"/>
    <col min="12" max="12" width="25.33203125" style="31" bestFit="1" customWidth="1"/>
    <col min="13" max="13" width="45.33203125" style="31" bestFit="1" customWidth="1"/>
    <col min="14" max="14" width="72.33203125" style="31" bestFit="1" customWidth="1"/>
    <col min="15" max="15" width="45.33203125" style="32" customWidth="1"/>
    <col min="16" max="16" width="11.33203125" style="31" customWidth="1"/>
    <col min="17" max="17" width="21.6640625" style="31" bestFit="1" customWidth="1"/>
  </cols>
  <sheetData>
    <row r="1" spans="2:17" x14ac:dyDescent="0.3">
      <c r="B1" t="s">
        <v>15</v>
      </c>
      <c r="C1" s="31" t="s">
        <v>50</v>
      </c>
      <c r="D1" t="s">
        <v>52</v>
      </c>
      <c r="E1" t="s">
        <v>68</v>
      </c>
      <c r="F1" s="31" t="s">
        <v>320</v>
      </c>
      <c r="G1" t="s">
        <v>70</v>
      </c>
      <c r="H1" s="31" t="s">
        <v>321</v>
      </c>
      <c r="I1" t="s">
        <v>72</v>
      </c>
      <c r="J1" s="31" t="s">
        <v>322</v>
      </c>
      <c r="K1" s="31" t="s">
        <v>323</v>
      </c>
      <c r="L1" t="s">
        <v>74</v>
      </c>
      <c r="M1" s="31" t="s">
        <v>324</v>
      </c>
      <c r="N1" s="31" t="s">
        <v>76</v>
      </c>
      <c r="O1" t="s">
        <v>23</v>
      </c>
      <c r="P1" t="s">
        <v>80</v>
      </c>
      <c r="Q1" t="s">
        <v>82</v>
      </c>
    </row>
    <row r="2" spans="2:17" x14ac:dyDescent="0.3">
      <c r="B2">
        <v>1</v>
      </c>
      <c r="C2" s="31" t="s">
        <v>165</v>
      </c>
      <c r="D2" t="s">
        <v>325</v>
      </c>
      <c r="E2" t="s">
        <v>326</v>
      </c>
      <c r="F2" s="33" t="str">
        <f t="shared" ref="F2:F4" si="0">SUBSTITUTE(SUBSTITUTE(SUBSTITUTE(SUBSTITUTE(LOWER(E2),"&amp;",""),"-",""),"  ","-")," ","-")</f>
        <v>mqtt</v>
      </c>
      <c r="G2" t="s">
        <v>508</v>
      </c>
      <c r="H2" s="33" t="str">
        <f t="shared" ref="H2:H3" si="1">SUBSTITUTE(SUBSTITUTE(SUBSTITUTE(SUBSTITUTE(LOWER(G2),"&amp;",""),"-",""),"  ","-")," ","-")</f>
        <v>machine_controller</v>
      </c>
      <c r="I2" t="s">
        <v>327</v>
      </c>
      <c r="J2" s="33" t="str">
        <f>SUBSTITUTE(SUBSTITUTE(SUBSTITUTE(SUBSTITUTE(LOWER(I2),"&amp;",""),"-",""),"  ","-")," ","-")</f>
        <v>order</v>
      </c>
      <c r="K2" s="33" t="str">
        <f>Table4[[#This Row],[Intermediate Qualified System Name]]&amp;"--"&amp;Table4[[#This Row],[Collection Intermediate Qualified Name]]&amp;"--"&amp;Table4[[#This Row],[Dataset Intermediate Qualified Name]]</f>
        <v>mqtt--machine_controller--order</v>
      </c>
      <c r="L2" t="s">
        <v>328</v>
      </c>
      <c r="M2" s="33" t="str">
        <f t="shared" ref="M2" si="2">SUBSTITUTE(SUBSTITUTE(SUBSTITUTE(LOWER(L2),"&amp;",""),"  ","-")," ","-")</f>
        <v>beverage</v>
      </c>
      <c r="N2" s="33" t="str">
        <f>Table4[[#This Row],[Intermediate Qualified System Name]]&amp;"--"&amp;Table4[[#This Row],[Collection Intermediate Qualified Name]]&amp;"--"&amp;Table4[[#This Row],[Dataset Intermediate Qualified Name]]&amp;"--"&amp;Table4[[#This Row],[Field Intermediate Qualified Name]]</f>
        <v>mqtt--machine_controller--order--beverage</v>
      </c>
      <c r="O2"/>
      <c r="P2" t="s">
        <v>167</v>
      </c>
      <c r="Q2"/>
    </row>
    <row r="3" spans="2:17" x14ac:dyDescent="0.3">
      <c r="B3">
        <v>2</v>
      </c>
      <c r="C3" s="31" t="s">
        <v>168</v>
      </c>
      <c r="D3" t="s">
        <v>329</v>
      </c>
      <c r="E3" t="s">
        <v>326</v>
      </c>
      <c r="F3" s="33" t="str">
        <f>SUBSTITUTE(SUBSTITUTE(SUBSTITUTE(SUBSTITUTE(LOWER(E3),"&amp;",""),"-",""),"  ","-")," ","-")</f>
        <v>mqtt</v>
      </c>
      <c r="G3" t="s">
        <v>508</v>
      </c>
      <c r="H3" s="33" t="str">
        <f t="shared" si="1"/>
        <v>machine_controller</v>
      </c>
      <c r="I3" t="s">
        <v>327</v>
      </c>
      <c r="J3" s="33" t="str">
        <f t="shared" ref="J3:J23" si="3">SUBSTITUTE(SUBSTITUTE(SUBSTITUTE(SUBSTITUTE(LOWER(I3),"&amp;",""),"-",""),"  ","-")," ","-")</f>
        <v>order</v>
      </c>
      <c r="K3" s="33" t="str">
        <f>Table4[[#This Row],[Intermediate Qualified System Name]]&amp;"--"&amp;Table4[[#This Row],[Collection Intermediate Qualified Name]]&amp;"--"&amp;Table4[[#This Row],[Dataset Intermediate Qualified Name]]</f>
        <v>mqtt--machine_controller--order</v>
      </c>
      <c r="L3" t="s">
        <v>168</v>
      </c>
      <c r="M3" s="33" t="str">
        <f t="shared" ref="M3:M23" si="4">SUBSTITUTE(SUBSTITUTE(SUBSTITUTE(LOWER(L3),"&amp;",""),"  ","-")," ","-")</f>
        <v>volume</v>
      </c>
      <c r="N3" s="33" t="str">
        <f>Table4[[#This Row],[Intermediate Qualified System Name]]&amp;"--"&amp;Table4[[#This Row],[Collection Intermediate Qualified Name]]&amp;"--"&amp;Table4[[#This Row],[Dataset Intermediate Qualified Name]]&amp;"--"&amp;Table4[[#This Row],[Field Intermediate Qualified Name]]</f>
        <v>mqtt--machine_controller--order--volume</v>
      </c>
      <c r="O3"/>
      <c r="P3" s="31" t="s">
        <v>167</v>
      </c>
      <c r="Q3"/>
    </row>
    <row r="4" spans="2:17" x14ac:dyDescent="0.3">
      <c r="B4">
        <v>3</v>
      </c>
      <c r="C4" s="31" t="s">
        <v>171</v>
      </c>
      <c r="D4" t="s">
        <v>330</v>
      </c>
      <c r="E4" t="s">
        <v>326</v>
      </c>
      <c r="F4" s="33" t="str">
        <f t="shared" si="0"/>
        <v>mqtt</v>
      </c>
      <c r="G4" t="s">
        <v>508</v>
      </c>
      <c r="H4" s="33" t="str">
        <f t="shared" ref="H4:H45" si="5">SUBSTITUTE(SUBSTITUTE(SUBSTITUTE(SUBSTITUTE(LOWER(G4),"&amp;",""),"-",""),"  ","-")," ","-")</f>
        <v>machine_controller</v>
      </c>
      <c r="I4" t="s">
        <v>327</v>
      </c>
      <c r="J4" s="33" t="str">
        <f t="shared" si="3"/>
        <v>order</v>
      </c>
      <c r="K4" s="33" t="str">
        <f>Table4[[#This Row],[Intermediate Qualified System Name]]&amp;"--"&amp;Table4[[#This Row],[Collection Intermediate Qualified Name]]&amp;"--"&amp;Table4[[#This Row],[Dataset Intermediate Qualified Name]]</f>
        <v>mqtt--machine_controller--order</v>
      </c>
      <c r="L4" t="s">
        <v>171</v>
      </c>
      <c r="M4" s="33" t="str">
        <f t="shared" si="4"/>
        <v>ml</v>
      </c>
      <c r="N4" s="33" t="str">
        <f>Table4[[#This Row],[Intermediate Qualified System Name]]&amp;"--"&amp;Table4[[#This Row],[Collection Intermediate Qualified Name]]&amp;"--"&amp;Table4[[#This Row],[Dataset Intermediate Qualified Name]]&amp;"--"&amp;Table4[[#This Row],[Field Intermediate Qualified Name]]</f>
        <v>mqtt--machine_controller--order--ml</v>
      </c>
      <c r="O4"/>
      <c r="P4" t="s">
        <v>173</v>
      </c>
      <c r="Q4"/>
    </row>
    <row r="5" spans="2:17" x14ac:dyDescent="0.3">
      <c r="B5">
        <v>4</v>
      </c>
      <c r="C5" s="31" t="s">
        <v>174</v>
      </c>
      <c r="D5" t="s">
        <v>331</v>
      </c>
      <c r="E5" t="s">
        <v>326</v>
      </c>
      <c r="F5" s="33" t="str">
        <f t="shared" ref="F5:F45" si="6">SUBSTITUTE(SUBSTITUTE(SUBSTITUTE(SUBSTITUTE(LOWER(E5),"&amp;",""),"-",""),"  ","-")," ","-")</f>
        <v>mqtt</v>
      </c>
      <c r="G5" t="s">
        <v>508</v>
      </c>
      <c r="H5" s="33" t="str">
        <f t="shared" si="5"/>
        <v>machine_controller</v>
      </c>
      <c r="I5" t="s">
        <v>327</v>
      </c>
      <c r="J5" s="33" t="str">
        <f t="shared" si="3"/>
        <v>order</v>
      </c>
      <c r="K5" s="33" t="str">
        <f>Table4[[#This Row],[Intermediate Qualified System Name]]&amp;"--"&amp;Table4[[#This Row],[Collection Intermediate Qualified Name]]&amp;"--"&amp;Table4[[#This Row],[Dataset Intermediate Qualified Name]]</f>
        <v>mqtt--machine_controller--order</v>
      </c>
      <c r="L5" t="s">
        <v>174</v>
      </c>
      <c r="M5" s="33" t="str">
        <f t="shared" si="4"/>
        <v>strength</v>
      </c>
      <c r="N5" s="33" t="str">
        <f>Table4[[#This Row],[Intermediate Qualified System Name]]&amp;"--"&amp;Table4[[#This Row],[Collection Intermediate Qualified Name]]&amp;"--"&amp;Table4[[#This Row],[Dataset Intermediate Qualified Name]]&amp;"--"&amp;Table4[[#This Row],[Field Intermediate Qualified Name]]</f>
        <v>mqtt--machine_controller--order--strength</v>
      </c>
      <c r="O5"/>
      <c r="P5" t="s">
        <v>173</v>
      </c>
      <c r="Q5"/>
    </row>
    <row r="6" spans="2:17" x14ac:dyDescent="0.3">
      <c r="B6">
        <v>5</v>
      </c>
      <c r="C6" s="31" t="s">
        <v>176</v>
      </c>
      <c r="D6" t="s">
        <v>332</v>
      </c>
      <c r="E6" t="s">
        <v>326</v>
      </c>
      <c r="F6" s="33" t="str">
        <f t="shared" si="6"/>
        <v>mqtt</v>
      </c>
      <c r="G6" t="s">
        <v>508</v>
      </c>
      <c r="H6" s="33" t="str">
        <f t="shared" si="5"/>
        <v>machine_controller</v>
      </c>
      <c r="I6" t="s">
        <v>327</v>
      </c>
      <c r="J6" s="33" t="str">
        <f t="shared" si="3"/>
        <v>order</v>
      </c>
      <c r="K6" s="33" t="str">
        <f>Table4[[#This Row],[Intermediate Qualified System Name]]&amp;"--"&amp;Table4[[#This Row],[Collection Intermediate Qualified Name]]&amp;"--"&amp;Table4[[#This Row],[Dataset Intermediate Qualified Name]]</f>
        <v>mqtt--machine_controller--order</v>
      </c>
      <c r="L6" t="s">
        <v>333</v>
      </c>
      <c r="M6" s="33" t="str">
        <f t="shared" si="4"/>
        <v>etc</v>
      </c>
      <c r="N6" s="33" t="str">
        <f>Table4[[#This Row],[Intermediate Qualified System Name]]&amp;"--"&amp;Table4[[#This Row],[Collection Intermediate Qualified Name]]&amp;"--"&amp;Table4[[#This Row],[Dataset Intermediate Qualified Name]]&amp;"--"&amp;Table4[[#This Row],[Field Intermediate Qualified Name]]</f>
        <v>mqtt--machine_controller--order--etc</v>
      </c>
      <c r="O6"/>
      <c r="P6" t="s">
        <v>173</v>
      </c>
      <c r="Q6"/>
    </row>
    <row r="7" spans="2:17" x14ac:dyDescent="0.3">
      <c r="B7">
        <v>6</v>
      </c>
      <c r="C7" s="31" t="s">
        <v>178</v>
      </c>
      <c r="D7" t="s">
        <v>334</v>
      </c>
      <c r="E7" t="s">
        <v>326</v>
      </c>
      <c r="F7" s="33" t="str">
        <f t="shared" si="6"/>
        <v>mqtt</v>
      </c>
      <c r="G7" t="s">
        <v>508</v>
      </c>
      <c r="H7" s="33" t="str">
        <f t="shared" si="5"/>
        <v>machine_controller</v>
      </c>
      <c r="I7" t="s">
        <v>327</v>
      </c>
      <c r="J7" s="33" t="str">
        <f t="shared" si="3"/>
        <v>order</v>
      </c>
      <c r="K7" s="33" t="str">
        <f>Table4[[#This Row],[Intermediate Qualified System Name]]&amp;"--"&amp;Table4[[#This Row],[Collection Intermediate Qualified Name]]&amp;"--"&amp;Table4[[#This Row],[Dataset Intermediate Qualified Name]]</f>
        <v>mqtt--machine_controller--order</v>
      </c>
      <c r="L7" t="s">
        <v>178</v>
      </c>
      <c r="M7" s="33" t="str">
        <f t="shared" si="4"/>
        <v>sugar</v>
      </c>
      <c r="N7" s="33" t="str">
        <f>Table4[[#This Row],[Intermediate Qualified System Name]]&amp;"--"&amp;Table4[[#This Row],[Collection Intermediate Qualified Name]]&amp;"--"&amp;Table4[[#This Row],[Dataset Intermediate Qualified Name]]&amp;"--"&amp;Table4[[#This Row],[Field Intermediate Qualified Name]]</f>
        <v>mqtt--machine_controller--order--sugar</v>
      </c>
      <c r="O7"/>
      <c r="P7" t="s">
        <v>173</v>
      </c>
      <c r="Q7"/>
    </row>
    <row r="8" spans="2:17" x14ac:dyDescent="0.3">
      <c r="B8">
        <v>7</v>
      </c>
      <c r="C8" s="31" t="s">
        <v>180</v>
      </c>
      <c r="D8" t="s">
        <v>335</v>
      </c>
      <c r="E8" t="s">
        <v>326</v>
      </c>
      <c r="F8" s="33" t="str">
        <f t="shared" si="6"/>
        <v>mqtt</v>
      </c>
      <c r="G8" t="s">
        <v>508</v>
      </c>
      <c r="H8" s="33" t="str">
        <f t="shared" si="5"/>
        <v>machine_controller</v>
      </c>
      <c r="I8" t="s">
        <v>327</v>
      </c>
      <c r="J8" s="33" t="str">
        <f t="shared" si="3"/>
        <v>order</v>
      </c>
      <c r="K8" s="33" t="str">
        <f>Table4[[#This Row],[Intermediate Qualified System Name]]&amp;"--"&amp;Table4[[#This Row],[Collection Intermediate Qualified Name]]&amp;"--"&amp;Table4[[#This Row],[Dataset Intermediate Qualified Name]]</f>
        <v>mqtt--machine_controller--order</v>
      </c>
      <c r="L8" t="s">
        <v>180</v>
      </c>
      <c r="M8" s="33" t="str">
        <f t="shared" si="4"/>
        <v>topping</v>
      </c>
      <c r="N8" s="33" t="str">
        <f>Table4[[#This Row],[Intermediate Qualified System Name]]&amp;"--"&amp;Table4[[#This Row],[Collection Intermediate Qualified Name]]&amp;"--"&amp;Table4[[#This Row],[Dataset Intermediate Qualified Name]]&amp;"--"&amp;Table4[[#This Row],[Field Intermediate Qualified Name]]</f>
        <v>mqtt--machine_controller--order--topping</v>
      </c>
      <c r="O8"/>
      <c r="P8" t="s">
        <v>173</v>
      </c>
      <c r="Q8"/>
    </row>
    <row r="9" spans="2:17" x14ac:dyDescent="0.3">
      <c r="B9">
        <v>8</v>
      </c>
      <c r="C9" s="31" t="s">
        <v>165</v>
      </c>
      <c r="D9" t="s">
        <v>325</v>
      </c>
      <c r="E9" t="s">
        <v>326</v>
      </c>
      <c r="F9" s="33" t="str">
        <f t="shared" si="6"/>
        <v>mqtt</v>
      </c>
      <c r="G9" t="s">
        <v>509</v>
      </c>
      <c r="H9" s="33" t="str">
        <f t="shared" si="5"/>
        <v>machine_controller_beverage_counters_total</v>
      </c>
      <c r="I9" t="s">
        <v>336</v>
      </c>
      <c r="J9" s="33" t="str">
        <f t="shared" si="3"/>
        <v>totalconsumptions</v>
      </c>
      <c r="K9" s="33" t="str">
        <f>Table4[[#This Row],[Intermediate Qualified System Name]]&amp;"--"&amp;Table4[[#This Row],[Collection Intermediate Qualified Name]]&amp;"--"&amp;Table4[[#This Row],[Dataset Intermediate Qualified Name]]</f>
        <v>mqtt--machine_controller_beverage_counters_total--totalconsumptions</v>
      </c>
      <c r="L9" t="s">
        <v>337</v>
      </c>
      <c r="M9" s="33" t="str">
        <f t="shared" si="4"/>
        <v>name</v>
      </c>
      <c r="N9" s="33" t="str">
        <f>Table4[[#This Row],[Intermediate Qualified System Name]]&amp;"--"&amp;Table4[[#This Row],[Collection Intermediate Qualified Name]]&amp;"--"&amp;Table4[[#This Row],[Dataset Intermediate Qualified Name]]&amp;"--"&amp;Table4[[#This Row],[Field Intermediate Qualified Name]]</f>
        <v>mqtt--machine_controller_beverage_counters_total--totalconsumptions--name</v>
      </c>
      <c r="O9"/>
      <c r="P9" t="s">
        <v>167</v>
      </c>
      <c r="Q9"/>
    </row>
    <row r="10" spans="2:17" x14ac:dyDescent="0.3">
      <c r="B10">
        <v>9</v>
      </c>
      <c r="C10" s="31" t="s">
        <v>183</v>
      </c>
      <c r="D10" t="s">
        <v>338</v>
      </c>
      <c r="E10" t="s">
        <v>326</v>
      </c>
      <c r="F10" s="33" t="str">
        <f t="shared" si="6"/>
        <v>mqtt</v>
      </c>
      <c r="G10" t="s">
        <v>509</v>
      </c>
      <c r="H10" s="33" t="str">
        <f t="shared" si="5"/>
        <v>machine_controller_beverage_counters_total</v>
      </c>
      <c r="I10" t="s">
        <v>336</v>
      </c>
      <c r="J10" s="33" t="str">
        <f t="shared" si="3"/>
        <v>totalconsumptions</v>
      </c>
      <c r="K10" s="33" t="str">
        <f>Table4[[#This Row],[Intermediate Qualified System Name]]&amp;"--"&amp;Table4[[#This Row],[Collection Intermediate Qualified Name]]&amp;"--"&amp;Table4[[#This Row],[Dataset Intermediate Qualified Name]]</f>
        <v>mqtt--machine_controller_beverage_counters_total--totalconsumptions</v>
      </c>
      <c r="L10" t="s">
        <v>183</v>
      </c>
      <c r="M10" s="33" t="str">
        <f t="shared" si="4"/>
        <v>small</v>
      </c>
      <c r="N10" s="33" t="str">
        <f>Table4[[#This Row],[Intermediate Qualified System Name]]&amp;"--"&amp;Table4[[#This Row],[Collection Intermediate Qualified Name]]&amp;"--"&amp;Table4[[#This Row],[Dataset Intermediate Qualified Name]]&amp;"--"&amp;Table4[[#This Row],[Field Intermediate Qualified Name]]</f>
        <v>mqtt--machine_controller_beverage_counters_total--totalconsumptions--small</v>
      </c>
      <c r="O10"/>
      <c r="P10" t="s">
        <v>173</v>
      </c>
      <c r="Q10"/>
    </row>
    <row r="11" spans="2:17" x14ac:dyDescent="0.3">
      <c r="B11">
        <v>10</v>
      </c>
      <c r="C11" s="31" t="s">
        <v>185</v>
      </c>
      <c r="D11" t="s">
        <v>339</v>
      </c>
      <c r="E11" t="s">
        <v>326</v>
      </c>
      <c r="F11" s="33" t="str">
        <f t="shared" si="6"/>
        <v>mqtt</v>
      </c>
      <c r="G11" t="s">
        <v>509</v>
      </c>
      <c r="H11" s="33" t="str">
        <f t="shared" si="5"/>
        <v>machine_controller_beverage_counters_total</v>
      </c>
      <c r="I11" t="s">
        <v>336</v>
      </c>
      <c r="J11" s="33" t="str">
        <f t="shared" si="3"/>
        <v>totalconsumptions</v>
      </c>
      <c r="K11" s="33" t="str">
        <f>Table4[[#This Row],[Intermediate Qualified System Name]]&amp;"--"&amp;Table4[[#This Row],[Collection Intermediate Qualified Name]]&amp;"--"&amp;Table4[[#This Row],[Dataset Intermediate Qualified Name]]</f>
        <v>mqtt--machine_controller_beverage_counters_total--totalconsumptions</v>
      </c>
      <c r="L11" t="s">
        <v>185</v>
      </c>
      <c r="M11" s="33" t="str">
        <f t="shared" si="4"/>
        <v>medium</v>
      </c>
      <c r="N11" s="33" t="str">
        <f>Table4[[#This Row],[Intermediate Qualified System Name]]&amp;"--"&amp;Table4[[#This Row],[Collection Intermediate Qualified Name]]&amp;"--"&amp;Table4[[#This Row],[Dataset Intermediate Qualified Name]]&amp;"--"&amp;Table4[[#This Row],[Field Intermediate Qualified Name]]</f>
        <v>mqtt--machine_controller_beverage_counters_total--totalconsumptions--medium</v>
      </c>
      <c r="O11"/>
      <c r="P11" t="s">
        <v>173</v>
      </c>
      <c r="Q11"/>
    </row>
    <row r="12" spans="2:17" x14ac:dyDescent="0.3">
      <c r="B12">
        <v>11</v>
      </c>
      <c r="C12" s="31" t="s">
        <v>187</v>
      </c>
      <c r="D12" t="s">
        <v>340</v>
      </c>
      <c r="E12" t="s">
        <v>326</v>
      </c>
      <c r="F12" s="33" t="str">
        <f t="shared" si="6"/>
        <v>mqtt</v>
      </c>
      <c r="G12" t="s">
        <v>509</v>
      </c>
      <c r="H12" s="33" t="str">
        <f t="shared" si="5"/>
        <v>machine_controller_beverage_counters_total</v>
      </c>
      <c r="I12" t="s">
        <v>336</v>
      </c>
      <c r="J12" s="33" t="str">
        <f t="shared" si="3"/>
        <v>totalconsumptions</v>
      </c>
      <c r="K12" s="33" t="str">
        <f>Table4[[#This Row],[Intermediate Qualified System Name]]&amp;"--"&amp;Table4[[#This Row],[Collection Intermediate Qualified Name]]&amp;"--"&amp;Table4[[#This Row],[Dataset Intermediate Qualified Name]]</f>
        <v>mqtt--machine_controller_beverage_counters_total--totalconsumptions</v>
      </c>
      <c r="L12" t="s">
        <v>341</v>
      </c>
      <c r="M12" s="33" t="str">
        <f t="shared" si="4"/>
        <v>large</v>
      </c>
      <c r="N12" s="33" t="str">
        <f>Table4[[#This Row],[Intermediate Qualified System Name]]&amp;"--"&amp;Table4[[#This Row],[Collection Intermediate Qualified Name]]&amp;"--"&amp;Table4[[#This Row],[Dataset Intermediate Qualified Name]]&amp;"--"&amp;Table4[[#This Row],[Field Intermediate Qualified Name]]</f>
        <v>mqtt--machine_controller_beverage_counters_total--totalconsumptions--large</v>
      </c>
      <c r="O12"/>
      <c r="P12" t="s">
        <v>173</v>
      </c>
      <c r="Q12"/>
    </row>
    <row r="13" spans="2:17" x14ac:dyDescent="0.3">
      <c r="B13">
        <v>12</v>
      </c>
      <c r="C13" s="31" t="s">
        <v>189</v>
      </c>
      <c r="D13" t="s">
        <v>342</v>
      </c>
      <c r="E13" t="s">
        <v>326</v>
      </c>
      <c r="F13" s="33" t="str">
        <f t="shared" si="6"/>
        <v>mqtt</v>
      </c>
      <c r="G13" t="s">
        <v>509</v>
      </c>
      <c r="H13" s="33" t="str">
        <f t="shared" si="5"/>
        <v>machine_controller_beverage_counters_total</v>
      </c>
      <c r="I13" t="s">
        <v>336</v>
      </c>
      <c r="J13" s="33" t="str">
        <f t="shared" si="3"/>
        <v>totalconsumptions</v>
      </c>
      <c r="K13" s="33" t="str">
        <f>Table4[[#This Row],[Intermediate Qualified System Name]]&amp;"--"&amp;Table4[[#This Row],[Collection Intermediate Qualified Name]]&amp;"--"&amp;Table4[[#This Row],[Dataset Intermediate Qualified Name]]</f>
        <v>mqtt--machine_controller_beverage_counters_total--totalconsumptions</v>
      </c>
      <c r="L13" t="s">
        <v>343</v>
      </c>
      <c r="M13" s="33" t="str">
        <f t="shared" si="4"/>
        <v>total</v>
      </c>
      <c r="N13" s="33" t="str">
        <f>Table4[[#This Row],[Intermediate Qualified System Name]]&amp;"--"&amp;Table4[[#This Row],[Collection Intermediate Qualified Name]]&amp;"--"&amp;Table4[[#This Row],[Dataset Intermediate Qualified Name]]&amp;"--"&amp;Table4[[#This Row],[Field Intermediate Qualified Name]]</f>
        <v>mqtt--machine_controller_beverage_counters_total--totalconsumptions--total</v>
      </c>
      <c r="O13"/>
      <c r="P13" t="s">
        <v>173</v>
      </c>
      <c r="Q13"/>
    </row>
    <row r="14" spans="2:17" x14ac:dyDescent="0.3">
      <c r="B14">
        <v>13</v>
      </c>
      <c r="C14" s="31" t="s">
        <v>192</v>
      </c>
      <c r="D14" t="s">
        <v>344</v>
      </c>
      <c r="E14" t="s">
        <v>326</v>
      </c>
      <c r="F14" s="33" t="str">
        <f t="shared" si="6"/>
        <v>mqtt</v>
      </c>
      <c r="G14" t="s">
        <v>510</v>
      </c>
      <c r="H14" s="33" t="str">
        <f t="shared" si="5"/>
        <v>machine_controller_notify</v>
      </c>
      <c r="I14" t="s">
        <v>345</v>
      </c>
      <c r="J14" s="33" t="str">
        <f t="shared" ref="J14:J20" si="7">SUBSTITUTE(SUBSTITUTE(SUBSTITUTE(SUBSTITUTE(LOWER(I14),"&amp;",""),"-",""),"  ","-")," ","-")</f>
        <v>messages</v>
      </c>
      <c r="K14" s="33" t="str">
        <f>Table4[[#This Row],[Intermediate Qualified System Name]]&amp;"--"&amp;Table4[[#This Row],[Collection Intermediate Qualified Name]]&amp;"--"&amp;Table4[[#This Row],[Dataset Intermediate Qualified Name]]</f>
        <v>mqtt--machine_controller_notify--messages</v>
      </c>
      <c r="L14" t="s">
        <v>346</v>
      </c>
      <c r="M14" s="33" t="str">
        <f t="shared" si="4"/>
        <v>active</v>
      </c>
      <c r="N14" s="33" t="str">
        <f>Table4[[#This Row],[Intermediate Qualified System Name]]&amp;"--"&amp;Table4[[#This Row],[Collection Intermediate Qualified Name]]&amp;"--"&amp;Table4[[#This Row],[Dataset Intermediate Qualified Name]]&amp;"--"&amp;Table4[[#This Row],[Field Intermediate Qualified Name]]</f>
        <v>mqtt--machine_controller_notify--messages--active</v>
      </c>
      <c r="O14"/>
      <c r="P14" t="s">
        <v>194</v>
      </c>
      <c r="Q14"/>
    </row>
    <row r="15" spans="2:17" x14ac:dyDescent="0.3">
      <c r="B15">
        <v>14</v>
      </c>
      <c r="C15" s="31" t="s">
        <v>196</v>
      </c>
      <c r="D15" t="s">
        <v>347</v>
      </c>
      <c r="E15" t="s">
        <v>326</v>
      </c>
      <c r="F15" s="33" t="str">
        <f t="shared" si="6"/>
        <v>mqtt</v>
      </c>
      <c r="G15" t="s">
        <v>510</v>
      </c>
      <c r="H15" s="33" t="str">
        <f t="shared" si="5"/>
        <v>machine_controller_notify</v>
      </c>
      <c r="I15" t="s">
        <v>345</v>
      </c>
      <c r="J15" s="33" t="str">
        <f t="shared" si="7"/>
        <v>messages</v>
      </c>
      <c r="K15" s="33" t="str">
        <f>Table4[[#This Row],[Intermediate Qualified System Name]]&amp;"--"&amp;Table4[[#This Row],[Collection Intermediate Qualified Name]]&amp;"--"&amp;Table4[[#This Row],[Dataset Intermediate Qualified Name]]</f>
        <v>mqtt--machine_controller_notify--messages</v>
      </c>
      <c r="L15" t="s">
        <v>348</v>
      </c>
      <c r="M15" s="33" t="str">
        <f t="shared" si="4"/>
        <v>latched</v>
      </c>
      <c r="N15" s="33" t="str">
        <f>Table4[[#This Row],[Intermediate Qualified System Name]]&amp;"--"&amp;Table4[[#This Row],[Collection Intermediate Qualified Name]]&amp;"--"&amp;Table4[[#This Row],[Dataset Intermediate Qualified Name]]&amp;"--"&amp;Table4[[#This Row],[Field Intermediate Qualified Name]]</f>
        <v>mqtt--machine_controller_notify--messages--latched</v>
      </c>
      <c r="O15"/>
      <c r="P15" t="s">
        <v>194</v>
      </c>
      <c r="Q15"/>
    </row>
    <row r="16" spans="2:17" x14ac:dyDescent="0.3">
      <c r="B16">
        <v>15</v>
      </c>
      <c r="C16" s="31" t="s">
        <v>198</v>
      </c>
      <c r="D16" t="s">
        <v>349</v>
      </c>
      <c r="E16" t="s">
        <v>326</v>
      </c>
      <c r="F16" s="33" t="str">
        <f t="shared" si="6"/>
        <v>mqtt</v>
      </c>
      <c r="G16" t="s">
        <v>510</v>
      </c>
      <c r="H16" s="33" t="str">
        <f t="shared" si="5"/>
        <v>machine_controller_notify</v>
      </c>
      <c r="I16" t="s">
        <v>345</v>
      </c>
      <c r="J16" s="33" t="str">
        <f t="shared" si="7"/>
        <v>messages</v>
      </c>
      <c r="K16" s="33" t="str">
        <f>Table4[[#This Row],[Intermediate Qualified System Name]]&amp;"--"&amp;Table4[[#This Row],[Collection Intermediate Qualified Name]]&amp;"--"&amp;Table4[[#This Row],[Dataset Intermediate Qualified Name]]</f>
        <v>mqtt--machine_controller_notify--messages</v>
      </c>
      <c r="L16" t="s">
        <v>350</v>
      </c>
      <c r="M16" s="33" t="str">
        <f t="shared" si="4"/>
        <v>id</v>
      </c>
      <c r="N16" s="33" t="str">
        <f>Table4[[#This Row],[Intermediate Qualified System Name]]&amp;"--"&amp;Table4[[#This Row],[Collection Intermediate Qualified Name]]&amp;"--"&amp;Table4[[#This Row],[Dataset Intermediate Qualified Name]]&amp;"--"&amp;Table4[[#This Row],[Field Intermediate Qualified Name]]</f>
        <v>mqtt--machine_controller_notify--messages--id</v>
      </c>
      <c r="O16"/>
      <c r="P16" t="s">
        <v>194</v>
      </c>
      <c r="Q16"/>
    </row>
    <row r="17" spans="2:16" customFormat="1" x14ac:dyDescent="0.3">
      <c r="B17">
        <v>16</v>
      </c>
      <c r="C17" s="31" t="s">
        <v>200</v>
      </c>
      <c r="D17" t="s">
        <v>351</v>
      </c>
      <c r="E17" t="s">
        <v>326</v>
      </c>
      <c r="F17" s="33" t="str">
        <f t="shared" si="6"/>
        <v>mqtt</v>
      </c>
      <c r="G17" t="s">
        <v>510</v>
      </c>
      <c r="H17" s="33" t="str">
        <f t="shared" si="5"/>
        <v>machine_controller_notify</v>
      </c>
      <c r="I17" t="s">
        <v>345</v>
      </c>
      <c r="J17" s="33" t="str">
        <f t="shared" si="7"/>
        <v>messages</v>
      </c>
      <c r="K17" s="33" t="str">
        <f>Table4[[#This Row],[Intermediate Qualified System Name]]&amp;"--"&amp;Table4[[#This Row],[Collection Intermediate Qualified Name]]&amp;"--"&amp;Table4[[#This Row],[Dataset Intermediate Qualified Name]]</f>
        <v>mqtt--machine_controller_notify--messages</v>
      </c>
      <c r="L17" t="s">
        <v>200</v>
      </c>
      <c r="M17" s="33" t="str">
        <f t="shared" si="4"/>
        <v>action</v>
      </c>
      <c r="N17" s="33" t="str">
        <f>Table4[[#This Row],[Intermediate Qualified System Name]]&amp;"--"&amp;Table4[[#This Row],[Collection Intermediate Qualified Name]]&amp;"--"&amp;Table4[[#This Row],[Dataset Intermediate Qualified Name]]&amp;"--"&amp;Table4[[#This Row],[Field Intermediate Qualified Name]]</f>
        <v>mqtt--machine_controller_notify--messages--action</v>
      </c>
      <c r="P17" t="s">
        <v>167</v>
      </c>
    </row>
    <row r="18" spans="2:16" customFormat="1" x14ac:dyDescent="0.3">
      <c r="B18">
        <v>17</v>
      </c>
      <c r="C18" s="31" t="s">
        <v>202</v>
      </c>
      <c r="D18" t="s">
        <v>352</v>
      </c>
      <c r="E18" t="s">
        <v>326</v>
      </c>
      <c r="F18" s="33" t="str">
        <f t="shared" si="6"/>
        <v>mqtt</v>
      </c>
      <c r="G18" t="s">
        <v>510</v>
      </c>
      <c r="H18" s="33" t="str">
        <f t="shared" si="5"/>
        <v>machine_controller_notify</v>
      </c>
      <c r="I18" t="s">
        <v>345</v>
      </c>
      <c r="J18" s="33" t="str">
        <f t="shared" si="7"/>
        <v>messages</v>
      </c>
      <c r="K18" s="33" t="str">
        <f>Table4[[#This Row],[Intermediate Qualified System Name]]&amp;"--"&amp;Table4[[#This Row],[Collection Intermediate Qualified Name]]&amp;"--"&amp;Table4[[#This Row],[Dataset Intermediate Qualified Name]]</f>
        <v>mqtt--machine_controller_notify--messages</v>
      </c>
      <c r="L18" t="s">
        <v>353</v>
      </c>
      <c r="M18" s="33" t="str">
        <f t="shared" ref="M18:M19" si="8">SUBSTITUTE(SUBSTITUTE(SUBSTITUTE(LOWER(L18),"&amp;",""),"  ","-")," ","-")</f>
        <v>metadata</v>
      </c>
      <c r="N18" s="33" t="str">
        <f>Table4[[#This Row],[Intermediate Qualified System Name]]&amp;"--"&amp;Table4[[#This Row],[Collection Intermediate Qualified Name]]&amp;"--"&amp;Table4[[#This Row],[Dataset Intermediate Qualified Name]]&amp;"--"&amp;Table4[[#This Row],[Field Intermediate Qualified Name]]</f>
        <v>mqtt--machine_controller_notify--messages--metadata</v>
      </c>
      <c r="P18" t="s">
        <v>167</v>
      </c>
    </row>
    <row r="19" spans="2:16" customFormat="1" x14ac:dyDescent="0.3">
      <c r="B19">
        <v>18</v>
      </c>
      <c r="C19" s="31" t="s">
        <v>204</v>
      </c>
      <c r="D19" t="s">
        <v>354</v>
      </c>
      <c r="E19" t="s">
        <v>326</v>
      </c>
      <c r="F19" s="33" t="str">
        <f t="shared" si="6"/>
        <v>mqtt</v>
      </c>
      <c r="G19" t="s">
        <v>511</v>
      </c>
      <c r="H19" s="33" t="str">
        <f t="shared" si="5"/>
        <v>machine_controller_procedure</v>
      </c>
      <c r="I19" t="s">
        <v>355</v>
      </c>
      <c r="J19" s="33" t="str">
        <f t="shared" si="7"/>
        <v>procedure</v>
      </c>
      <c r="K19" s="33" t="str">
        <f>Table4[[#This Row],[Intermediate Qualified System Name]]&amp;"--"&amp;Table4[[#This Row],[Collection Intermediate Qualified Name]]&amp;"--"&amp;Table4[[#This Row],[Dataset Intermediate Qualified Name]]</f>
        <v>mqtt--machine_controller_procedure--procedure</v>
      </c>
      <c r="L19" t="s">
        <v>337</v>
      </c>
      <c r="M19" s="33" t="str">
        <f t="shared" si="8"/>
        <v>name</v>
      </c>
      <c r="N19" s="33" t="str">
        <f>Table4[[#This Row],[Intermediate Qualified System Name]]&amp;"--"&amp;Table4[[#This Row],[Collection Intermediate Qualified Name]]&amp;"--"&amp;Table4[[#This Row],[Dataset Intermediate Qualified Name]]&amp;"--"&amp;Table4[[#This Row],[Field Intermediate Qualified Name]]</f>
        <v>mqtt--machine_controller_procedure--procedure--name</v>
      </c>
      <c r="P19" s="31" t="s">
        <v>167</v>
      </c>
    </row>
    <row r="20" spans="2:16" customFormat="1" x14ac:dyDescent="0.3">
      <c r="B20">
        <v>19</v>
      </c>
      <c r="C20" s="31" t="s">
        <v>206</v>
      </c>
      <c r="D20" t="s">
        <v>356</v>
      </c>
      <c r="E20" t="s">
        <v>326</v>
      </c>
      <c r="F20" s="33" t="str">
        <f t="shared" si="6"/>
        <v>mqtt</v>
      </c>
      <c r="G20" t="s">
        <v>511</v>
      </c>
      <c r="H20" s="33" t="str">
        <f t="shared" si="5"/>
        <v>machine_controller_procedure</v>
      </c>
      <c r="I20" t="s">
        <v>355</v>
      </c>
      <c r="J20" s="33" t="str">
        <f t="shared" si="7"/>
        <v>procedure</v>
      </c>
      <c r="K20" s="33" t="str">
        <f>Table4[[#This Row],[Intermediate Qualified System Name]]&amp;"--"&amp;Table4[[#This Row],[Collection Intermediate Qualified Name]]&amp;"--"&amp;Table4[[#This Row],[Dataset Intermediate Qualified Name]]</f>
        <v>mqtt--machine_controller_procedure--procedure</v>
      </c>
      <c r="L20" t="s">
        <v>333</v>
      </c>
      <c r="M20" s="33" t="str">
        <f t="shared" si="4"/>
        <v>etc</v>
      </c>
      <c r="N20" s="33" t="str">
        <f>Table4[[#This Row],[Intermediate Qualified System Name]]&amp;"--"&amp;Table4[[#This Row],[Collection Intermediate Qualified Name]]&amp;"--"&amp;Table4[[#This Row],[Dataset Intermediate Qualified Name]]&amp;"--"&amp;Table4[[#This Row],[Field Intermediate Qualified Name]]</f>
        <v>mqtt--machine_controller_procedure--procedure--etc</v>
      </c>
      <c r="P20" t="s">
        <v>173</v>
      </c>
    </row>
    <row r="21" spans="2:16" customFormat="1" x14ac:dyDescent="0.3">
      <c r="B21">
        <v>20</v>
      </c>
      <c r="C21" s="31" t="s">
        <v>208</v>
      </c>
      <c r="D21" t="s">
        <v>357</v>
      </c>
      <c r="E21" t="s">
        <v>326</v>
      </c>
      <c r="F21" s="33" t="str">
        <f t="shared" si="6"/>
        <v>mqtt</v>
      </c>
      <c r="G21" t="s">
        <v>511</v>
      </c>
      <c r="H21" s="33" t="str">
        <f t="shared" si="5"/>
        <v>machine_controller_procedure</v>
      </c>
      <c r="I21" t="s">
        <v>355</v>
      </c>
      <c r="J21" s="33" t="str">
        <f t="shared" si="3"/>
        <v>procedure</v>
      </c>
      <c r="K21" s="33" t="str">
        <f>Table4[[#This Row],[Intermediate Qualified System Name]]&amp;"--"&amp;Table4[[#This Row],[Collection Intermediate Qualified Name]]&amp;"--"&amp;Table4[[#This Row],[Dataset Intermediate Qualified Name]]</f>
        <v>mqtt--machine_controller_procedure--procedure</v>
      </c>
      <c r="L21" t="s">
        <v>208</v>
      </c>
      <c r="M21" s="33" t="str">
        <f t="shared" si="4"/>
        <v>wait</v>
      </c>
      <c r="N21" s="33" t="str">
        <f>Table4[[#This Row],[Intermediate Qualified System Name]]&amp;"--"&amp;Table4[[#This Row],[Collection Intermediate Qualified Name]]&amp;"--"&amp;Table4[[#This Row],[Dataset Intermediate Qualified Name]]&amp;"--"&amp;Table4[[#This Row],[Field Intermediate Qualified Name]]</f>
        <v>mqtt--machine_controller_procedure--procedure--wait</v>
      </c>
      <c r="P21" t="s">
        <v>173</v>
      </c>
    </row>
    <row r="22" spans="2:16" customFormat="1" x14ac:dyDescent="0.3">
      <c r="B22">
        <v>21</v>
      </c>
      <c r="C22" s="31" t="s">
        <v>211</v>
      </c>
      <c r="D22" t="s">
        <v>358</v>
      </c>
      <c r="E22" t="s">
        <v>326</v>
      </c>
      <c r="F22" s="33" t="str">
        <f t="shared" si="6"/>
        <v>mqtt</v>
      </c>
      <c r="G22" t="s">
        <v>512</v>
      </c>
      <c r="H22" s="33" t="str">
        <f t="shared" si="5"/>
        <v>machine_controller_grinder</v>
      </c>
      <c r="I22" t="s">
        <v>359</v>
      </c>
      <c r="J22" s="33" t="str">
        <f t="shared" si="3"/>
        <v>machinegrinder</v>
      </c>
      <c r="K22" s="33" t="str">
        <f>Table4[[#This Row],[Intermediate Qualified System Name]]&amp;"--"&amp;Table4[[#This Row],[Collection Intermediate Qualified Name]]&amp;"--"&amp;Table4[[#This Row],[Dataset Intermediate Qualified Name]]</f>
        <v>mqtt--machine_controller_grinder--machinegrinder</v>
      </c>
      <c r="L22" t="s">
        <v>360</v>
      </c>
      <c r="M22" s="33" t="str">
        <f t="shared" si="4"/>
        <v>channel</v>
      </c>
      <c r="N22" s="33" t="str">
        <f>Table4[[#This Row],[Intermediate Qualified System Name]]&amp;"--"&amp;Table4[[#This Row],[Collection Intermediate Qualified Name]]&amp;"--"&amp;Table4[[#This Row],[Dataset Intermediate Qualified Name]]&amp;"--"&amp;Table4[[#This Row],[Field Intermediate Qualified Name]]</f>
        <v>mqtt--machine_controller_grinder--machinegrinder--channel</v>
      </c>
      <c r="P22" t="s">
        <v>173</v>
      </c>
    </row>
    <row r="23" spans="2:16" customFormat="1" x14ac:dyDescent="0.3">
      <c r="B23">
        <v>22</v>
      </c>
      <c r="C23" s="31" t="s">
        <v>213</v>
      </c>
      <c r="D23" t="s">
        <v>361</v>
      </c>
      <c r="E23" t="s">
        <v>326</v>
      </c>
      <c r="F23" s="33" t="str">
        <f t="shared" si="6"/>
        <v>mqtt</v>
      </c>
      <c r="G23" t="s">
        <v>512</v>
      </c>
      <c r="H23" s="33" t="str">
        <f t="shared" si="5"/>
        <v>machine_controller_grinder</v>
      </c>
      <c r="I23" t="s">
        <v>359</v>
      </c>
      <c r="J23" s="33" t="str">
        <f t="shared" si="3"/>
        <v>machinegrinder</v>
      </c>
      <c r="K23" s="33" t="str">
        <f>Table4[[#This Row],[Intermediate Qualified System Name]]&amp;"--"&amp;Table4[[#This Row],[Collection Intermediate Qualified Name]]&amp;"--"&amp;Table4[[#This Row],[Dataset Intermediate Qualified Name]]</f>
        <v>mqtt--machine_controller_grinder--machinegrinder</v>
      </c>
      <c r="L23" t="s">
        <v>362</v>
      </c>
      <c r="M23" s="33" t="str">
        <f t="shared" si="4"/>
        <v>date</v>
      </c>
      <c r="N23" s="33" t="str">
        <f>Table4[[#This Row],[Intermediate Qualified System Name]]&amp;"--"&amp;Table4[[#This Row],[Collection Intermediate Qualified Name]]&amp;"--"&amp;Table4[[#This Row],[Dataset Intermediate Qualified Name]]&amp;"--"&amp;Table4[[#This Row],[Field Intermediate Qualified Name]]</f>
        <v>mqtt--machine_controller_grinder--machinegrinder--date</v>
      </c>
      <c r="P23" t="s">
        <v>4</v>
      </c>
    </row>
    <row r="24" spans="2:16" customFormat="1" x14ac:dyDescent="0.3">
      <c r="B24">
        <v>23</v>
      </c>
      <c r="C24" s="31" t="s">
        <v>215</v>
      </c>
      <c r="D24" t="s">
        <v>363</v>
      </c>
      <c r="E24" t="s">
        <v>326</v>
      </c>
      <c r="F24" s="33" t="str">
        <f t="shared" si="6"/>
        <v>mqtt</v>
      </c>
      <c r="G24" t="s">
        <v>512</v>
      </c>
      <c r="H24" s="33" t="str">
        <f t="shared" si="5"/>
        <v>machine_controller_grinder</v>
      </c>
      <c r="I24" t="s">
        <v>359</v>
      </c>
      <c r="J24" s="33" t="str">
        <f t="shared" ref="J24:J35" si="9">SUBSTITUTE(SUBSTITUTE(SUBSTITUTE(SUBSTITUTE(LOWER(I24),"&amp;",""),"-",""),"  ","-")," ","-")</f>
        <v>machinegrinder</v>
      </c>
      <c r="K24" s="33" t="str">
        <f>Table4[[#This Row],[Intermediate Qualified System Name]]&amp;"--"&amp;Table4[[#This Row],[Collection Intermediate Qualified Name]]&amp;"--"&amp;Table4[[#This Row],[Dataset Intermediate Qualified Name]]</f>
        <v>mqtt--machine_controller_grinder--machinegrinder</v>
      </c>
      <c r="L24" t="s">
        <v>364</v>
      </c>
      <c r="M24" s="33" t="str">
        <f t="shared" ref="M24:M35" si="10">SUBSTITUTE(SUBSTITUTE(SUBSTITUTE(LOWER(L24),"&amp;",""),"  ","-")," ","-")</f>
        <v>ingredient</v>
      </c>
      <c r="N24" s="33" t="str">
        <f>Table4[[#This Row],[Intermediate Qualified System Name]]&amp;"--"&amp;Table4[[#This Row],[Collection Intermediate Qualified Name]]&amp;"--"&amp;Table4[[#This Row],[Dataset Intermediate Qualified Name]]&amp;"--"&amp;Table4[[#This Row],[Field Intermediate Qualified Name]]</f>
        <v>mqtt--machine_controller_grinder--machinegrinder--ingredient</v>
      </c>
      <c r="P24" t="s">
        <v>167</v>
      </c>
    </row>
    <row r="25" spans="2:16" customFormat="1" x14ac:dyDescent="0.3">
      <c r="B25">
        <v>24</v>
      </c>
      <c r="C25" s="31" t="s">
        <v>217</v>
      </c>
      <c r="D25" t="s">
        <v>365</v>
      </c>
      <c r="E25" t="s">
        <v>326</v>
      </c>
      <c r="F25" s="33" t="str">
        <f t="shared" si="6"/>
        <v>mqtt</v>
      </c>
      <c r="G25" t="s">
        <v>512</v>
      </c>
      <c r="H25" s="33" t="str">
        <f t="shared" si="5"/>
        <v>machine_controller_grinder</v>
      </c>
      <c r="I25" t="s">
        <v>359</v>
      </c>
      <c r="J25" s="33" t="str">
        <f t="shared" si="9"/>
        <v>machinegrinder</v>
      </c>
      <c r="K25" s="33" t="str">
        <f>Table4[[#This Row],[Intermediate Qualified System Name]]&amp;"--"&amp;Table4[[#This Row],[Collection Intermediate Qualified Name]]&amp;"--"&amp;Table4[[#This Row],[Dataset Intermediate Qualified Name]]</f>
        <v>mqtt--machine_controller_grinder--machinegrinder</v>
      </c>
      <c r="L25" t="s">
        <v>366</v>
      </c>
      <c r="M25" s="33" t="str">
        <f t="shared" si="10"/>
        <v>mapping</v>
      </c>
      <c r="N25" s="33" t="str">
        <f>Table4[[#This Row],[Intermediate Qualified System Name]]&amp;"--"&amp;Table4[[#This Row],[Collection Intermediate Qualified Name]]&amp;"--"&amp;Table4[[#This Row],[Dataset Intermediate Qualified Name]]&amp;"--"&amp;Table4[[#This Row],[Field Intermediate Qualified Name]]</f>
        <v>mqtt--machine_controller_grinder--machinegrinder--mapping</v>
      </c>
      <c r="P25" t="s">
        <v>167</v>
      </c>
    </row>
    <row r="26" spans="2:16" customFormat="1" x14ac:dyDescent="0.3">
      <c r="B26">
        <v>25</v>
      </c>
      <c r="C26" s="31" t="s">
        <v>219</v>
      </c>
      <c r="D26" t="s">
        <v>367</v>
      </c>
      <c r="E26" t="s">
        <v>326</v>
      </c>
      <c r="F26" s="33" t="str">
        <f t="shared" si="6"/>
        <v>mqtt</v>
      </c>
      <c r="G26" t="s">
        <v>512</v>
      </c>
      <c r="H26" s="33" t="str">
        <f t="shared" si="5"/>
        <v>machine_controller_grinder</v>
      </c>
      <c r="I26" t="s">
        <v>359</v>
      </c>
      <c r="J26" s="33" t="str">
        <f t="shared" si="9"/>
        <v>machinegrinder</v>
      </c>
      <c r="K26" s="33" t="str">
        <f>Table4[[#This Row],[Intermediate Qualified System Name]]&amp;"--"&amp;Table4[[#This Row],[Collection Intermediate Qualified Name]]&amp;"--"&amp;Table4[[#This Row],[Dataset Intermediate Qualified Name]]</f>
        <v>mqtt--machine_controller_grinder--machinegrinder</v>
      </c>
      <c r="L26" t="s">
        <v>368</v>
      </c>
      <c r="M26" s="33" t="str">
        <f t="shared" si="10"/>
        <v>number</v>
      </c>
      <c r="N26" s="33" t="str">
        <f>Table4[[#This Row],[Intermediate Qualified System Name]]&amp;"--"&amp;Table4[[#This Row],[Collection Intermediate Qualified Name]]&amp;"--"&amp;Table4[[#This Row],[Dataset Intermediate Qualified Name]]&amp;"--"&amp;Table4[[#This Row],[Field Intermediate Qualified Name]]</f>
        <v>mqtt--machine_controller_grinder--machinegrinder--number</v>
      </c>
      <c r="P26" t="s">
        <v>173</v>
      </c>
    </row>
    <row r="27" spans="2:16" customFormat="1" x14ac:dyDescent="0.3">
      <c r="B27">
        <v>26</v>
      </c>
      <c r="C27" s="31" t="s">
        <v>221</v>
      </c>
      <c r="D27" t="s">
        <v>369</v>
      </c>
      <c r="E27" t="s">
        <v>326</v>
      </c>
      <c r="F27" s="33" t="str">
        <f t="shared" si="6"/>
        <v>mqtt</v>
      </c>
      <c r="G27" t="s">
        <v>512</v>
      </c>
      <c r="H27" s="33" t="str">
        <f t="shared" si="5"/>
        <v>machine_controller_grinder</v>
      </c>
      <c r="I27" t="s">
        <v>359</v>
      </c>
      <c r="J27" s="33" t="str">
        <f t="shared" si="9"/>
        <v>machinegrinder</v>
      </c>
      <c r="K27" s="33" t="str">
        <f>Table4[[#This Row],[Intermediate Qualified System Name]]&amp;"--"&amp;Table4[[#This Row],[Collection Intermediate Qualified Name]]&amp;"--"&amp;Table4[[#This Row],[Dataset Intermediate Qualified Name]]</f>
        <v>mqtt--machine_controller_grinder--machinegrinder</v>
      </c>
      <c r="L27" t="s">
        <v>370</v>
      </c>
      <c r="M27" s="33" t="str">
        <f t="shared" si="10"/>
        <v>label</v>
      </c>
      <c r="N27" s="33" t="str">
        <f>Table4[[#This Row],[Intermediate Qualified System Name]]&amp;"--"&amp;Table4[[#This Row],[Collection Intermediate Qualified Name]]&amp;"--"&amp;Table4[[#This Row],[Dataset Intermediate Qualified Name]]&amp;"--"&amp;Table4[[#This Row],[Field Intermediate Qualified Name]]</f>
        <v>mqtt--machine_controller_grinder--machinegrinder--label</v>
      </c>
      <c r="P27" s="31" t="s">
        <v>167</v>
      </c>
    </row>
    <row r="28" spans="2:16" customFormat="1" x14ac:dyDescent="0.3">
      <c r="B28">
        <v>27</v>
      </c>
      <c r="C28" s="31" t="s">
        <v>224</v>
      </c>
      <c r="D28" t="s">
        <v>371</v>
      </c>
      <c r="E28" t="s">
        <v>326</v>
      </c>
      <c r="F28" s="33" t="str">
        <f t="shared" si="6"/>
        <v>mqtt</v>
      </c>
      <c r="G28" t="s">
        <v>513</v>
      </c>
      <c r="H28" s="33" t="str">
        <f t="shared" si="5"/>
        <v>machine_controller_canister</v>
      </c>
      <c r="I28" t="s">
        <v>372</v>
      </c>
      <c r="J28" s="33" t="str">
        <f t="shared" si="9"/>
        <v>machinecanister</v>
      </c>
      <c r="K28" s="33" t="str">
        <f>Table4[[#This Row],[Intermediate Qualified System Name]]&amp;"--"&amp;Table4[[#This Row],[Collection Intermediate Qualified Name]]&amp;"--"&amp;Table4[[#This Row],[Dataset Intermediate Qualified Name]]</f>
        <v>mqtt--machine_controller_canister--machinecanister</v>
      </c>
      <c r="L28" t="s">
        <v>360</v>
      </c>
      <c r="M28" s="33" t="str">
        <f>SUBSTITUTE(SUBSTITUTE(SUBSTITUTE(LOWER(L28),"&amp;",""),"  ","-")," ","-")</f>
        <v>channel</v>
      </c>
      <c r="N28" s="33" t="str">
        <f>Table4[[#This Row],[Intermediate Qualified System Name]]&amp;"--"&amp;Table4[[#This Row],[Collection Intermediate Qualified Name]]&amp;"--"&amp;Table4[[#This Row],[Dataset Intermediate Qualified Name]]&amp;"--"&amp;Table4[[#This Row],[Field Intermediate Qualified Name]]</f>
        <v>mqtt--machine_controller_canister--machinecanister--channel</v>
      </c>
      <c r="P28" t="s">
        <v>173</v>
      </c>
    </row>
    <row r="29" spans="2:16" customFormat="1" x14ac:dyDescent="0.3">
      <c r="B29">
        <v>28</v>
      </c>
      <c r="C29" s="31" t="s">
        <v>226</v>
      </c>
      <c r="D29" t="s">
        <v>373</v>
      </c>
      <c r="E29" t="s">
        <v>326</v>
      </c>
      <c r="F29" s="33" t="str">
        <f t="shared" si="6"/>
        <v>mqtt</v>
      </c>
      <c r="G29" t="s">
        <v>513</v>
      </c>
      <c r="H29" s="33" t="str">
        <f t="shared" si="5"/>
        <v>machine_controller_canister</v>
      </c>
      <c r="I29" t="s">
        <v>372</v>
      </c>
      <c r="J29" s="33" t="str">
        <f t="shared" si="9"/>
        <v>machinecanister</v>
      </c>
      <c r="K29" s="33" t="str">
        <f>Table4[[#This Row],[Intermediate Qualified System Name]]&amp;"--"&amp;Table4[[#This Row],[Collection Intermediate Qualified Name]]&amp;"--"&amp;Table4[[#This Row],[Dataset Intermediate Qualified Name]]</f>
        <v>mqtt--machine_controller_canister--machinecanister</v>
      </c>
      <c r="L29" t="s">
        <v>362</v>
      </c>
      <c r="M29" s="33" t="str">
        <f>SUBSTITUTE(SUBSTITUTE(SUBSTITUTE(LOWER(L29),"&amp;",""),"  ","-")," ","-")</f>
        <v>date</v>
      </c>
      <c r="N29" s="33" t="str">
        <f>Table4[[#This Row],[Intermediate Qualified System Name]]&amp;"--"&amp;Table4[[#This Row],[Collection Intermediate Qualified Name]]&amp;"--"&amp;Table4[[#This Row],[Dataset Intermediate Qualified Name]]&amp;"--"&amp;Table4[[#This Row],[Field Intermediate Qualified Name]]</f>
        <v>mqtt--machine_controller_canister--machinecanister--date</v>
      </c>
      <c r="P29" t="s">
        <v>4</v>
      </c>
    </row>
    <row r="30" spans="2:16" customFormat="1" x14ac:dyDescent="0.3">
      <c r="B30">
        <v>29</v>
      </c>
      <c r="C30" s="31" t="s">
        <v>228</v>
      </c>
      <c r="D30" t="s">
        <v>374</v>
      </c>
      <c r="E30" t="s">
        <v>326</v>
      </c>
      <c r="F30" s="33" t="str">
        <f t="shared" si="6"/>
        <v>mqtt</v>
      </c>
      <c r="G30" t="s">
        <v>513</v>
      </c>
      <c r="H30" s="33" t="str">
        <f t="shared" si="5"/>
        <v>machine_controller_canister</v>
      </c>
      <c r="I30" t="s">
        <v>372</v>
      </c>
      <c r="J30" s="33" t="str">
        <f t="shared" si="9"/>
        <v>machinecanister</v>
      </c>
      <c r="K30" s="33" t="str">
        <f>Table4[[#This Row],[Intermediate Qualified System Name]]&amp;"--"&amp;Table4[[#This Row],[Collection Intermediate Qualified Name]]&amp;"--"&amp;Table4[[#This Row],[Dataset Intermediate Qualified Name]]</f>
        <v>mqtt--machine_controller_canister--machinecanister</v>
      </c>
      <c r="L30" t="s">
        <v>364</v>
      </c>
      <c r="M30" s="33" t="str">
        <f>SUBSTITUTE(SUBSTITUTE(SUBSTITUTE(LOWER(L30),"&amp;",""),"  ","-")," ","-")</f>
        <v>ingredient</v>
      </c>
      <c r="N30" s="33" t="str">
        <f>Table4[[#This Row],[Intermediate Qualified System Name]]&amp;"--"&amp;Table4[[#This Row],[Collection Intermediate Qualified Name]]&amp;"--"&amp;Table4[[#This Row],[Dataset Intermediate Qualified Name]]&amp;"--"&amp;Table4[[#This Row],[Field Intermediate Qualified Name]]</f>
        <v>mqtt--machine_controller_canister--machinecanister--ingredient</v>
      </c>
      <c r="P30" t="s">
        <v>167</v>
      </c>
    </row>
    <row r="31" spans="2:16" customFormat="1" x14ac:dyDescent="0.3">
      <c r="B31">
        <v>30</v>
      </c>
      <c r="C31" s="31" t="s">
        <v>230</v>
      </c>
      <c r="D31" t="s">
        <v>375</v>
      </c>
      <c r="E31" t="s">
        <v>326</v>
      </c>
      <c r="F31" s="33" t="str">
        <f t="shared" si="6"/>
        <v>mqtt</v>
      </c>
      <c r="G31" t="s">
        <v>513</v>
      </c>
      <c r="H31" s="33" t="str">
        <f t="shared" si="5"/>
        <v>machine_controller_canister</v>
      </c>
      <c r="I31" t="s">
        <v>372</v>
      </c>
      <c r="J31" s="33" t="str">
        <f t="shared" si="9"/>
        <v>machinecanister</v>
      </c>
      <c r="K31" s="33" t="str">
        <f>Table4[[#This Row],[Intermediate Qualified System Name]]&amp;"--"&amp;Table4[[#This Row],[Collection Intermediate Qualified Name]]&amp;"--"&amp;Table4[[#This Row],[Dataset Intermediate Qualified Name]]</f>
        <v>mqtt--machine_controller_canister--machinecanister</v>
      </c>
      <c r="L31" t="s">
        <v>366</v>
      </c>
      <c r="M31" s="33" t="str">
        <f>SUBSTITUTE(SUBSTITUTE(SUBSTITUTE(LOWER(L31),"&amp;",""),"  ","-")," ","-")</f>
        <v>mapping</v>
      </c>
      <c r="N31" s="33" t="str">
        <f>Table4[[#This Row],[Intermediate Qualified System Name]]&amp;"--"&amp;Table4[[#This Row],[Collection Intermediate Qualified Name]]&amp;"--"&amp;Table4[[#This Row],[Dataset Intermediate Qualified Name]]&amp;"--"&amp;Table4[[#This Row],[Field Intermediate Qualified Name]]</f>
        <v>mqtt--machine_controller_canister--machinecanister--mapping</v>
      </c>
      <c r="P31" t="s">
        <v>167</v>
      </c>
    </row>
    <row r="32" spans="2:16" customFormat="1" x14ac:dyDescent="0.3">
      <c r="B32">
        <v>31</v>
      </c>
      <c r="C32" s="31" t="s">
        <v>232</v>
      </c>
      <c r="D32" t="s">
        <v>367</v>
      </c>
      <c r="E32" t="s">
        <v>326</v>
      </c>
      <c r="F32" s="33" t="str">
        <f t="shared" si="6"/>
        <v>mqtt</v>
      </c>
      <c r="G32" t="s">
        <v>513</v>
      </c>
      <c r="H32" s="33" t="str">
        <f t="shared" si="5"/>
        <v>machine_controller_canister</v>
      </c>
      <c r="I32" t="s">
        <v>372</v>
      </c>
      <c r="J32" s="33" t="str">
        <f t="shared" si="9"/>
        <v>machinecanister</v>
      </c>
      <c r="K32" s="33" t="str">
        <f>Table4[[#This Row],[Intermediate Qualified System Name]]&amp;"--"&amp;Table4[[#This Row],[Collection Intermediate Qualified Name]]&amp;"--"&amp;Table4[[#This Row],[Dataset Intermediate Qualified Name]]</f>
        <v>mqtt--machine_controller_canister--machinecanister</v>
      </c>
      <c r="L32" t="s">
        <v>368</v>
      </c>
      <c r="M32" s="33" t="str">
        <f>SUBSTITUTE(SUBSTITUTE(SUBSTITUTE(LOWER(L32),"&amp;",""),"  ","-")," ","-")</f>
        <v>number</v>
      </c>
      <c r="N32" s="33" t="str">
        <f>Table4[[#This Row],[Intermediate Qualified System Name]]&amp;"--"&amp;Table4[[#This Row],[Collection Intermediate Qualified Name]]&amp;"--"&amp;Table4[[#This Row],[Dataset Intermediate Qualified Name]]&amp;"--"&amp;Table4[[#This Row],[Field Intermediate Qualified Name]]</f>
        <v>mqtt--machine_controller_canister--machinecanister--number</v>
      </c>
      <c r="P32" t="s">
        <v>173</v>
      </c>
    </row>
    <row r="33" spans="2:17" x14ac:dyDescent="0.3">
      <c r="B33">
        <v>32</v>
      </c>
      <c r="C33" s="31" t="s">
        <v>234</v>
      </c>
      <c r="D33" t="s">
        <v>376</v>
      </c>
      <c r="E33" t="s">
        <v>326</v>
      </c>
      <c r="F33" s="33" t="str">
        <f t="shared" ref="F33:F44" si="11">SUBSTITUTE(SUBSTITUTE(SUBSTITUTE(SUBSTITUTE(LOWER(E33),"&amp;",""),"-",""),"  ","-")," ","-")</f>
        <v>mqtt</v>
      </c>
      <c r="G33" t="s">
        <v>513</v>
      </c>
      <c r="H33" s="33" t="str">
        <f t="shared" ref="H33:H44" si="12">SUBSTITUTE(SUBSTITUTE(SUBSTITUTE(SUBSTITUTE(LOWER(G33),"&amp;",""),"-",""),"  ","-")," ","-")</f>
        <v>machine_controller_canister</v>
      </c>
      <c r="I33" t="s">
        <v>372</v>
      </c>
      <c r="J33" s="33" t="str">
        <f t="shared" si="9"/>
        <v>machinecanister</v>
      </c>
      <c r="K33" s="33" t="str">
        <f>Table4[[#This Row],[Intermediate Qualified System Name]]&amp;"--"&amp;Table4[[#This Row],[Collection Intermediate Qualified Name]]&amp;"--"&amp;Table4[[#This Row],[Dataset Intermediate Qualified Name]]</f>
        <v>mqtt--machine_controller_canister--machinecanister</v>
      </c>
      <c r="L33" t="s">
        <v>377</v>
      </c>
      <c r="M33" s="33" t="str">
        <f t="shared" si="10"/>
        <v>outlet</v>
      </c>
      <c r="N33" s="33" t="str">
        <f>Table4[[#This Row],[Intermediate Qualified System Name]]&amp;"--"&amp;Table4[[#This Row],[Collection Intermediate Qualified Name]]&amp;"--"&amp;Table4[[#This Row],[Dataset Intermediate Qualified Name]]&amp;"--"&amp;Table4[[#This Row],[Field Intermediate Qualified Name]]</f>
        <v>mqtt--machine_controller_canister--machinecanister--outlet</v>
      </c>
      <c r="O33"/>
      <c r="P33" t="s">
        <v>173</v>
      </c>
      <c r="Q33"/>
    </row>
    <row r="34" spans="2:17" x14ac:dyDescent="0.3">
      <c r="B34">
        <v>33</v>
      </c>
      <c r="C34" s="31" t="s">
        <v>236</v>
      </c>
      <c r="D34" t="s">
        <v>378</v>
      </c>
      <c r="E34" t="s">
        <v>326</v>
      </c>
      <c r="F34" s="33" t="str">
        <f t="shared" si="11"/>
        <v>mqtt</v>
      </c>
      <c r="G34" t="s">
        <v>513</v>
      </c>
      <c r="H34" s="33" t="str">
        <f t="shared" si="12"/>
        <v>machine_controller_canister</v>
      </c>
      <c r="I34" t="s">
        <v>372</v>
      </c>
      <c r="J34" s="33" t="str">
        <f t="shared" si="9"/>
        <v>machinecanister</v>
      </c>
      <c r="K34" s="33" t="str">
        <f>Table4[[#This Row],[Intermediate Qualified System Name]]&amp;"--"&amp;Table4[[#This Row],[Collection Intermediate Qualified Name]]&amp;"--"&amp;Table4[[#This Row],[Dataset Intermediate Qualified Name]]</f>
        <v>mqtt--machine_controller_canister--machinecanister</v>
      </c>
      <c r="L34" t="s">
        <v>379</v>
      </c>
      <c r="M34" s="33" t="str">
        <f t="shared" si="10"/>
        <v>type</v>
      </c>
      <c r="N34" s="33" t="str">
        <f>Table4[[#This Row],[Intermediate Qualified System Name]]&amp;"--"&amp;Table4[[#This Row],[Collection Intermediate Qualified Name]]&amp;"--"&amp;Table4[[#This Row],[Dataset Intermediate Qualified Name]]&amp;"--"&amp;Table4[[#This Row],[Field Intermediate Qualified Name]]</f>
        <v>mqtt--machine_controller_canister--machinecanister--type</v>
      </c>
      <c r="O34"/>
      <c r="P34" t="s">
        <v>167</v>
      </c>
      <c r="Q34"/>
    </row>
    <row r="35" spans="2:17" x14ac:dyDescent="0.3">
      <c r="B35">
        <v>34</v>
      </c>
      <c r="C35" s="31" t="s">
        <v>238</v>
      </c>
      <c r="D35" t="s">
        <v>380</v>
      </c>
      <c r="E35" t="s">
        <v>326</v>
      </c>
      <c r="F35" s="33" t="str">
        <f t="shared" si="11"/>
        <v>mqtt</v>
      </c>
      <c r="G35" t="s">
        <v>513</v>
      </c>
      <c r="H35" s="33" t="str">
        <f t="shared" si="12"/>
        <v>machine_controller_canister</v>
      </c>
      <c r="I35" t="s">
        <v>372</v>
      </c>
      <c r="J35" s="33" t="str">
        <f t="shared" si="9"/>
        <v>machinecanister</v>
      </c>
      <c r="K35" s="33" t="str">
        <f>Table4[[#This Row],[Intermediate Qualified System Name]]&amp;"--"&amp;Table4[[#This Row],[Collection Intermediate Qualified Name]]&amp;"--"&amp;Table4[[#This Row],[Dataset Intermediate Qualified Name]]</f>
        <v>mqtt--machine_controller_canister--machinecanister</v>
      </c>
      <c r="L35" t="s">
        <v>370</v>
      </c>
      <c r="M35" s="33" t="str">
        <f t="shared" si="10"/>
        <v>label</v>
      </c>
      <c r="N35" s="33" t="str">
        <f>Table4[[#This Row],[Intermediate Qualified System Name]]&amp;"--"&amp;Table4[[#This Row],[Collection Intermediate Qualified Name]]&amp;"--"&amp;Table4[[#This Row],[Dataset Intermediate Qualified Name]]&amp;"--"&amp;Table4[[#This Row],[Field Intermediate Qualified Name]]</f>
        <v>mqtt--machine_controller_canister--machinecanister--label</v>
      </c>
      <c r="O35"/>
      <c r="P35" s="31" t="s">
        <v>167</v>
      </c>
      <c r="Q35"/>
    </row>
    <row r="36" spans="2:17" x14ac:dyDescent="0.3">
      <c r="B36">
        <v>35</v>
      </c>
      <c r="C36" s="31" t="s">
        <v>241</v>
      </c>
      <c r="D36" t="s">
        <v>381</v>
      </c>
      <c r="E36" t="s">
        <v>326</v>
      </c>
      <c r="F36" s="33" t="str">
        <f t="shared" si="11"/>
        <v>mqtt</v>
      </c>
      <c r="G36" t="s">
        <v>514</v>
      </c>
      <c r="H36" s="33" t="str">
        <f t="shared" si="12"/>
        <v>machine_controller_recipe</v>
      </c>
      <c r="I36" t="s">
        <v>382</v>
      </c>
      <c r="J36" s="33" t="str">
        <f t="shared" ref="J36:J44" si="13">SUBSTITUTE(SUBSTITUTE(SUBSTITUTE(SUBSTITUTE(LOWER(I36),"&amp;",""),"-",""),"  ","-")," ","-")</f>
        <v>machinerecipe</v>
      </c>
      <c r="K36" s="33" t="str">
        <f>Table4[[#This Row],[Intermediate Qualified System Name]]&amp;"--"&amp;Table4[[#This Row],[Collection Intermediate Qualified Name]]&amp;"--"&amp;Table4[[#This Row],[Dataset Intermediate Qualified Name]]</f>
        <v>mqtt--machine_controller_recipe--machinerecipe</v>
      </c>
      <c r="L36" t="s">
        <v>350</v>
      </c>
      <c r="M36" s="33" t="str">
        <f>SUBSTITUTE(SUBSTITUTE(SUBSTITUTE(LOWER(L36),"&amp;",""),"  ","-")," ","-")</f>
        <v>id</v>
      </c>
      <c r="N36" s="33" t="str">
        <f>Table4[[#This Row],[Intermediate Qualified System Name]]&amp;"--"&amp;Table4[[#This Row],[Collection Intermediate Qualified Name]]&amp;"--"&amp;Table4[[#This Row],[Dataset Intermediate Qualified Name]]&amp;"--"&amp;Table4[[#This Row],[Field Intermediate Qualified Name]]</f>
        <v>mqtt--machine_controller_recipe--machinerecipe--id</v>
      </c>
      <c r="O36"/>
      <c r="P36" t="s">
        <v>194</v>
      </c>
      <c r="Q36"/>
    </row>
    <row r="37" spans="2:17" x14ac:dyDescent="0.3">
      <c r="B37">
        <v>36</v>
      </c>
      <c r="C37" s="31" t="s">
        <v>243</v>
      </c>
      <c r="D37" t="s">
        <v>383</v>
      </c>
      <c r="E37" t="s">
        <v>326</v>
      </c>
      <c r="F37" s="33" t="str">
        <f t="shared" si="11"/>
        <v>mqtt</v>
      </c>
      <c r="G37" t="s">
        <v>515</v>
      </c>
      <c r="H37" s="33" t="str">
        <f t="shared" si="12"/>
        <v>machine_controller_beverage</v>
      </c>
      <c r="I37" t="s">
        <v>384</v>
      </c>
      <c r="J37" s="33" t="str">
        <f t="shared" si="13"/>
        <v>machinebeverage</v>
      </c>
      <c r="K37" s="33" t="str">
        <f>Table4[[#This Row],[Intermediate Qualified System Name]]&amp;"--"&amp;Table4[[#This Row],[Collection Intermediate Qualified Name]]&amp;"--"&amp;Table4[[#This Row],[Dataset Intermediate Qualified Name]]</f>
        <v>mqtt--machine_controller_beverage--machinebeverage</v>
      </c>
      <c r="L37" t="s">
        <v>350</v>
      </c>
      <c r="M37" s="33" t="str">
        <f>SUBSTITUTE(SUBSTITUTE(SUBSTITUTE(LOWER(L37),"&amp;",""),"  ","-")," ","-")</f>
        <v>id</v>
      </c>
      <c r="N37" s="33" t="str">
        <f>Table4[[#This Row],[Intermediate Qualified System Name]]&amp;"--"&amp;Table4[[#This Row],[Collection Intermediate Qualified Name]]&amp;"--"&amp;Table4[[#This Row],[Dataset Intermediate Qualified Name]]&amp;"--"&amp;Table4[[#This Row],[Field Intermediate Qualified Name]]</f>
        <v>mqtt--machine_controller_beverage--machinebeverage--id</v>
      </c>
      <c r="O37"/>
      <c r="P37" t="s">
        <v>194</v>
      </c>
      <c r="Q37"/>
    </row>
    <row r="38" spans="2:17" x14ac:dyDescent="0.3">
      <c r="B38">
        <v>37</v>
      </c>
      <c r="C38" s="31" t="s">
        <v>245</v>
      </c>
      <c r="D38" t="s">
        <v>385</v>
      </c>
      <c r="E38" t="s">
        <v>326</v>
      </c>
      <c r="F38" s="33" t="str">
        <f t="shared" si="11"/>
        <v>mqtt</v>
      </c>
      <c r="G38" t="s">
        <v>516</v>
      </c>
      <c r="H38" s="33" t="str">
        <f t="shared" si="12"/>
        <v>machine_controller_state</v>
      </c>
      <c r="I38" t="s">
        <v>386</v>
      </c>
      <c r="J38" s="33" t="str">
        <f t="shared" si="13"/>
        <v>machinestate</v>
      </c>
      <c r="K38" s="33" t="str">
        <f>Table4[[#This Row],[Intermediate Qualified System Name]]&amp;"--"&amp;Table4[[#This Row],[Collection Intermediate Qualified Name]]&amp;"--"&amp;Table4[[#This Row],[Dataset Intermediate Qualified Name]]</f>
        <v>mqtt--machine_controller_state--machinestate</v>
      </c>
      <c r="L38" t="s">
        <v>387</v>
      </c>
      <c r="M38" s="33" t="str">
        <f>SUBSTITUTE(SUBSTITUTE(SUBSTITUTE(LOWER(L38),"&amp;",""),"  ","-")," ","-")</f>
        <v>master</v>
      </c>
      <c r="N38" s="33" t="str">
        <f>Table4[[#This Row],[Intermediate Qualified System Name]]&amp;"--"&amp;Table4[[#This Row],[Collection Intermediate Qualified Name]]&amp;"--"&amp;Table4[[#This Row],[Dataset Intermediate Qualified Name]]&amp;"--"&amp;Table4[[#This Row],[Field Intermediate Qualified Name]]</f>
        <v>mqtt--machine_controller_state--machinestate--master</v>
      </c>
      <c r="O38"/>
      <c r="P38" t="s">
        <v>167</v>
      </c>
      <c r="Q38"/>
    </row>
    <row r="39" spans="2:17" x14ac:dyDescent="0.3">
      <c r="B39">
        <v>38</v>
      </c>
      <c r="C39" s="31" t="s">
        <v>247</v>
      </c>
      <c r="D39" t="s">
        <v>388</v>
      </c>
      <c r="E39" t="s">
        <v>326</v>
      </c>
      <c r="F39" s="33" t="str">
        <f t="shared" si="11"/>
        <v>mqtt</v>
      </c>
      <c r="G39" t="s">
        <v>516</v>
      </c>
      <c r="H39" s="33" t="str">
        <f t="shared" si="12"/>
        <v>machine_controller_state</v>
      </c>
      <c r="I39" t="s">
        <v>386</v>
      </c>
      <c r="J39" s="33" t="str">
        <f t="shared" si="13"/>
        <v>machinestate</v>
      </c>
      <c r="K39" s="33" t="str">
        <f>Table4[[#This Row],[Intermediate Qualified System Name]]&amp;"--"&amp;Table4[[#This Row],[Collection Intermediate Qualified Name]]&amp;"--"&amp;Table4[[#This Row],[Dataset Intermediate Qualified Name]]</f>
        <v>mqtt--machine_controller_state--machinestate</v>
      </c>
      <c r="L39" t="s">
        <v>389</v>
      </c>
      <c r="M39" s="33" t="str">
        <f>SUBSTITUTE(SUBSTITUTE(SUBSTITUTE(LOWER(L39),"&amp;",""),"  ","-")," ","-")</f>
        <v>state</v>
      </c>
      <c r="N39" s="33" t="str">
        <f>Table4[[#This Row],[Intermediate Qualified System Name]]&amp;"--"&amp;Table4[[#This Row],[Collection Intermediate Qualified Name]]&amp;"--"&amp;Table4[[#This Row],[Dataset Intermediate Qualified Name]]&amp;"--"&amp;Table4[[#This Row],[Field Intermediate Qualified Name]]</f>
        <v>mqtt--machine_controller_state--machinestate--state</v>
      </c>
      <c r="O39"/>
      <c r="P39" t="s">
        <v>167</v>
      </c>
      <c r="Q39"/>
    </row>
    <row r="40" spans="2:17" x14ac:dyDescent="0.3">
      <c r="B40">
        <v>39</v>
      </c>
      <c r="C40" s="31" t="s">
        <v>250</v>
      </c>
      <c r="D40" t="s">
        <v>390</v>
      </c>
      <c r="E40" t="s">
        <v>391</v>
      </c>
      <c r="F40" s="33" t="str">
        <f t="shared" si="11"/>
        <v>database</v>
      </c>
      <c r="G40" t="s">
        <v>392</v>
      </c>
      <c r="H40" s="33" t="str">
        <f t="shared" si="12"/>
        <v>relational-database</v>
      </c>
      <c r="I40" t="s">
        <v>393</v>
      </c>
      <c r="J40" s="33" t="str">
        <f t="shared" si="13"/>
        <v>user-table</v>
      </c>
      <c r="K40" s="33" t="str">
        <f>Table4[[#This Row],[Intermediate Qualified System Name]]&amp;"--"&amp;Table4[[#This Row],[Collection Intermediate Qualified Name]]&amp;"--"&amp;Table4[[#This Row],[Dataset Intermediate Qualified Name]]</f>
        <v>database--relational-database--user-table</v>
      </c>
      <c r="L40" t="s">
        <v>337</v>
      </c>
      <c r="M40" s="33" t="str">
        <f>SUBSTITUTE(SUBSTITUTE(SUBSTITUTE(LOWER(L40),"&amp;",""),"  ","-")," ","-")</f>
        <v>name</v>
      </c>
      <c r="N40" s="33" t="str">
        <f>Table4[[#This Row],[Intermediate Qualified System Name]]&amp;"--"&amp;Table4[[#This Row],[Collection Intermediate Qualified Name]]&amp;"--"&amp;Table4[[#This Row],[Dataset Intermediate Qualified Name]]&amp;"--"&amp;Table4[[#This Row],[Field Intermediate Qualified Name]]</f>
        <v>database--relational-database--user-table--name</v>
      </c>
      <c r="O40"/>
      <c r="P40" t="s">
        <v>167</v>
      </c>
      <c r="Q40"/>
    </row>
    <row r="41" spans="2:17" x14ac:dyDescent="0.3">
      <c r="B41">
        <v>40</v>
      </c>
      <c r="C41" s="31" t="s">
        <v>165</v>
      </c>
      <c r="D41" t="s">
        <v>325</v>
      </c>
      <c r="E41" t="s">
        <v>391</v>
      </c>
      <c r="F41" s="33" t="str">
        <f t="shared" si="11"/>
        <v>database</v>
      </c>
      <c r="G41" t="s">
        <v>392</v>
      </c>
      <c r="H41" s="33" t="str">
        <f t="shared" si="12"/>
        <v>relational-database</v>
      </c>
      <c r="I41" t="s">
        <v>394</v>
      </c>
      <c r="J41" s="33" t="str">
        <f t="shared" si="13"/>
        <v>beverage-table</v>
      </c>
      <c r="K41" s="33" t="str">
        <f>Table4[[#This Row],[Intermediate Qualified System Name]]&amp;"--"&amp;Table4[[#This Row],[Collection Intermediate Qualified Name]]&amp;"--"&amp;Table4[[#This Row],[Dataset Intermediate Qualified Name]]</f>
        <v>database--relational-database--beverage-table</v>
      </c>
      <c r="L41" t="s">
        <v>337</v>
      </c>
      <c r="M41" s="33" t="str">
        <f t="shared" ref="M41:M45" si="14">SUBSTITUTE(SUBSTITUTE(SUBSTITUTE(LOWER(L41),"&amp;",""),"  ","-")," ","-")</f>
        <v>name</v>
      </c>
      <c r="N41" s="33" t="str">
        <f>Table4[[#This Row],[Intermediate Qualified System Name]]&amp;"--"&amp;Table4[[#This Row],[Collection Intermediate Qualified Name]]&amp;"--"&amp;Table4[[#This Row],[Dataset Intermediate Qualified Name]]&amp;"--"&amp;Table4[[#This Row],[Field Intermediate Qualified Name]]</f>
        <v>database--relational-database--beverage-table--name</v>
      </c>
      <c r="O41"/>
      <c r="P41" t="s">
        <v>167</v>
      </c>
      <c r="Q41"/>
    </row>
    <row r="42" spans="2:17" x14ac:dyDescent="0.3">
      <c r="B42">
        <v>41</v>
      </c>
      <c r="C42" s="31" t="s">
        <v>253</v>
      </c>
      <c r="D42" t="s">
        <v>395</v>
      </c>
      <c r="E42" t="s">
        <v>391</v>
      </c>
      <c r="F42" s="33" t="str">
        <f t="shared" si="11"/>
        <v>database</v>
      </c>
      <c r="G42" t="s">
        <v>392</v>
      </c>
      <c r="H42" s="33" t="str">
        <f t="shared" si="12"/>
        <v>relational-database</v>
      </c>
      <c r="I42" t="s">
        <v>396</v>
      </c>
      <c r="J42" s="33" t="str">
        <f t="shared" si="13"/>
        <v>machine-table</v>
      </c>
      <c r="K42" s="33" t="str">
        <f>Table4[[#This Row],[Intermediate Qualified System Name]]&amp;"--"&amp;Table4[[#This Row],[Collection Intermediate Qualified Name]]&amp;"--"&amp;Table4[[#This Row],[Dataset Intermediate Qualified Name]]</f>
        <v>database--relational-database--machine-table</v>
      </c>
      <c r="L42" t="s">
        <v>397</v>
      </c>
      <c r="M42" s="33" t="str">
        <f t="shared" si="14"/>
        <v>location</v>
      </c>
      <c r="N42" s="33" t="str">
        <f>Table4[[#This Row],[Intermediate Qualified System Name]]&amp;"--"&amp;Table4[[#This Row],[Collection Intermediate Qualified Name]]&amp;"--"&amp;Table4[[#This Row],[Dataset Intermediate Qualified Name]]&amp;"--"&amp;Table4[[#This Row],[Field Intermediate Qualified Name]]</f>
        <v>database--relational-database--machine-table--location</v>
      </c>
      <c r="O42"/>
      <c r="P42" t="s">
        <v>167</v>
      </c>
      <c r="Q42"/>
    </row>
    <row r="43" spans="2:17" x14ac:dyDescent="0.3">
      <c r="B43">
        <v>42</v>
      </c>
      <c r="C43" s="31" t="s">
        <v>255</v>
      </c>
      <c r="D43" t="s">
        <v>398</v>
      </c>
      <c r="E43" t="s">
        <v>391</v>
      </c>
      <c r="F43" s="33" t="str">
        <f t="shared" si="11"/>
        <v>database</v>
      </c>
      <c r="G43" t="s">
        <v>392</v>
      </c>
      <c r="H43" s="33" t="str">
        <f t="shared" si="12"/>
        <v>relational-database</v>
      </c>
      <c r="I43" t="s">
        <v>396</v>
      </c>
      <c r="J43" s="33" t="str">
        <f t="shared" si="13"/>
        <v>machine-table</v>
      </c>
      <c r="K43" s="33" t="str">
        <f>Table4[[#This Row],[Intermediate Qualified System Name]]&amp;"--"&amp;Table4[[#This Row],[Collection Intermediate Qualified Name]]&amp;"--"&amp;Table4[[#This Row],[Dataset Intermediate Qualified Name]]</f>
        <v>database--relational-database--machine-table</v>
      </c>
      <c r="L43" t="s">
        <v>399</v>
      </c>
      <c r="M43" s="33" t="str">
        <f t="shared" si="14"/>
        <v>name</v>
      </c>
      <c r="N43" s="33" t="str">
        <f>Table4[[#This Row],[Intermediate Qualified System Name]]&amp;"--"&amp;Table4[[#This Row],[Collection Intermediate Qualified Name]]&amp;"--"&amp;Table4[[#This Row],[Dataset Intermediate Qualified Name]]&amp;"--"&amp;Table4[[#This Row],[Field Intermediate Qualified Name]]</f>
        <v>database--relational-database--machine-table--name</v>
      </c>
      <c r="O43"/>
      <c r="P43" t="s">
        <v>167</v>
      </c>
      <c r="Q43"/>
    </row>
    <row r="44" spans="2:17" x14ac:dyDescent="0.3">
      <c r="B44">
        <v>43</v>
      </c>
      <c r="C44" s="31" t="s">
        <v>261</v>
      </c>
      <c r="D44" t="s">
        <v>400</v>
      </c>
      <c r="E44" t="s">
        <v>391</v>
      </c>
      <c r="F44" s="33" t="str">
        <f t="shared" si="11"/>
        <v>database</v>
      </c>
      <c r="G44" t="s">
        <v>392</v>
      </c>
      <c r="H44" s="33" t="str">
        <f t="shared" si="12"/>
        <v>relational-database</v>
      </c>
      <c r="I44" t="s">
        <v>401</v>
      </c>
      <c r="J44" s="33" t="str">
        <f t="shared" si="13"/>
        <v>machine_tag-table</v>
      </c>
      <c r="K44" s="33" t="str">
        <f>Table4[[#This Row],[Intermediate Qualified System Name]]&amp;"--"&amp;Table4[[#This Row],[Collection Intermediate Qualified Name]]&amp;"--"&amp;Table4[[#This Row],[Dataset Intermediate Qualified Name]]</f>
        <v>database--relational-database--machine_tag-table</v>
      </c>
      <c r="L44" t="s">
        <v>402</v>
      </c>
      <c r="M44" s="33" t="str">
        <f t="shared" si="14"/>
        <v>tag</v>
      </c>
      <c r="N44" s="33" t="str">
        <f>Table4[[#This Row],[Intermediate Qualified System Name]]&amp;"--"&amp;Table4[[#This Row],[Collection Intermediate Qualified Name]]&amp;"--"&amp;Table4[[#This Row],[Dataset Intermediate Qualified Name]]&amp;"--"&amp;Table4[[#This Row],[Field Intermediate Qualified Name]]</f>
        <v>database--relational-database--machine_tag-table--tag</v>
      </c>
      <c r="O44"/>
      <c r="P44" t="s">
        <v>167</v>
      </c>
      <c r="Q44"/>
    </row>
    <row r="45" spans="2:17" x14ac:dyDescent="0.3">
      <c r="B45">
        <v>44</v>
      </c>
      <c r="C45" s="31" t="s">
        <v>257</v>
      </c>
      <c r="D45" t="s">
        <v>403</v>
      </c>
      <c r="E45" t="s">
        <v>391</v>
      </c>
      <c r="F45" s="33" t="str">
        <f t="shared" si="6"/>
        <v>database</v>
      </c>
      <c r="G45" t="s">
        <v>404</v>
      </c>
      <c r="H45" s="33" t="str">
        <f t="shared" si="5"/>
        <v>object-database</v>
      </c>
      <c r="I45" t="s">
        <v>405</v>
      </c>
      <c r="J45" s="33" t="str">
        <f t="shared" ref="J45" si="15">SUBSTITUTE(SUBSTITUTE(SUBSTITUTE(SUBSTITUTE(LOWER(I45),"&amp;",""),"-",""),"  ","-")," ","-")</f>
        <v>ordercontainer</v>
      </c>
      <c r="K45" s="33" t="str">
        <f>Table4[[#This Row],[Intermediate Qualified System Name]]&amp;"--"&amp;Table4[[#This Row],[Collection Intermediate Qualified Name]]&amp;"--"&amp;Table4[[#This Row],[Dataset Intermediate Qualified Name]]</f>
        <v>database--object-database--ordercontainer</v>
      </c>
      <c r="L45" t="s">
        <v>406</v>
      </c>
      <c r="M45" s="33" t="str">
        <f t="shared" si="14"/>
        <v>timestamp</v>
      </c>
      <c r="N45" s="33" t="str">
        <f>Table4[[#This Row],[Intermediate Qualified System Name]]&amp;"--"&amp;Table4[[#This Row],[Collection Intermediate Qualified Name]]&amp;"--"&amp;Table4[[#This Row],[Dataset Intermediate Qualified Name]]&amp;"--"&amp;Table4[[#This Row],[Field Intermediate Qualified Name]]</f>
        <v>database--object-database--ordercontainer--timestamp</v>
      </c>
      <c r="O45"/>
      <c r="P45" t="s">
        <v>4</v>
      </c>
      <c r="Q45"/>
    </row>
    <row r="46" spans="2:17" x14ac:dyDescent="0.3">
      <c r="B46">
        <v>45</v>
      </c>
      <c r="C46" s="31" t="s">
        <v>259</v>
      </c>
      <c r="D46" t="s">
        <v>407</v>
      </c>
      <c r="E46" t="s">
        <v>391</v>
      </c>
      <c r="F46" s="33" t="str">
        <f t="shared" ref="F46:F89" si="16">SUBSTITUTE(SUBSTITUTE(SUBSTITUTE(SUBSTITUTE(LOWER(E46),"&amp;",""),"-",""),"  ","-")," ","-")</f>
        <v>database</v>
      </c>
      <c r="G46" t="s">
        <v>408</v>
      </c>
      <c r="H46" s="33" t="str">
        <f t="shared" ref="H46:H89" si="17">SUBSTITUTE(SUBSTITUTE(SUBSTITUTE(SUBSTITUTE(LOWER(G46),"&amp;",""),"-",""),"  ","-")," ","-")</f>
        <v>relational-database</v>
      </c>
      <c r="I46" t="s">
        <v>409</v>
      </c>
      <c r="J46" s="33" t="str">
        <f t="shared" ref="J46:J89" si="18">SUBSTITUTE(SUBSTITUTE(SUBSTITUTE(SUBSTITUTE(LOWER(I46),"&amp;",""),"-",""),"  ","-")," ","-")</f>
        <v>eventtype</v>
      </c>
      <c r="K46" s="33" t="str">
        <f>Table4[[#This Row],[Intermediate Qualified System Name]]&amp;"--"&amp;Table4[[#This Row],[Collection Intermediate Qualified Name]]&amp;"--"&amp;Table4[[#This Row],[Dataset Intermediate Qualified Name]]</f>
        <v>database--relational-database--eventtype</v>
      </c>
      <c r="L46" t="s">
        <v>337</v>
      </c>
      <c r="M46" s="33" t="str">
        <f t="shared" ref="M46:M89" si="19">SUBSTITUTE(SUBSTITUTE(SUBSTITUTE(LOWER(L46),"&amp;",""),"  ","-")," ","-")</f>
        <v>name</v>
      </c>
      <c r="N46" s="33" t="str">
        <f>Table4[[#This Row],[Intermediate Qualified System Name]]&amp;"--"&amp;Table4[[#This Row],[Collection Intermediate Qualified Name]]&amp;"--"&amp;Table4[[#This Row],[Dataset Intermediate Qualified Name]]&amp;"--"&amp;Table4[[#This Row],[Field Intermediate Qualified Name]]</f>
        <v>database--relational-database--eventtype--name</v>
      </c>
      <c r="P46" t="s">
        <v>167</v>
      </c>
    </row>
    <row r="47" spans="2:17" x14ac:dyDescent="0.3">
      <c r="B47">
        <v>46</v>
      </c>
      <c r="C47" s="31" t="s">
        <v>261</v>
      </c>
      <c r="D47" t="s">
        <v>400</v>
      </c>
      <c r="E47" t="s">
        <v>391</v>
      </c>
      <c r="F47" s="33" t="str">
        <f t="shared" si="16"/>
        <v>database</v>
      </c>
      <c r="G47" t="s">
        <v>408</v>
      </c>
      <c r="H47" s="33" t="str">
        <f t="shared" si="17"/>
        <v>relational-database</v>
      </c>
      <c r="I47" t="s">
        <v>396</v>
      </c>
      <c r="J47" s="33" t="str">
        <f t="shared" si="18"/>
        <v>machine-table</v>
      </c>
      <c r="K47" s="33" t="str">
        <f>Table4[[#This Row],[Intermediate Qualified System Name]]&amp;"--"&amp;Table4[[#This Row],[Collection Intermediate Qualified Name]]&amp;"--"&amp;Table4[[#This Row],[Dataset Intermediate Qualified Name]]</f>
        <v>database--relational-database--machine-table</v>
      </c>
      <c r="L47" t="s">
        <v>410</v>
      </c>
      <c r="M47" s="33" t="str">
        <f t="shared" si="19"/>
        <v>tags</v>
      </c>
      <c r="N47" s="33" t="str">
        <f>Table4[[#This Row],[Intermediate Qualified System Name]]&amp;"--"&amp;Table4[[#This Row],[Collection Intermediate Qualified Name]]&amp;"--"&amp;Table4[[#This Row],[Dataset Intermediate Qualified Name]]&amp;"--"&amp;Table4[[#This Row],[Field Intermediate Qualified Name]]</f>
        <v>database--relational-database--machine-table--tags</v>
      </c>
      <c r="P47" t="s">
        <v>167</v>
      </c>
    </row>
    <row r="48" spans="2:17" x14ac:dyDescent="0.3">
      <c r="B48">
        <v>47</v>
      </c>
      <c r="C48" s="31" t="s">
        <v>263</v>
      </c>
      <c r="D48" t="s">
        <v>411</v>
      </c>
      <c r="E48" t="s">
        <v>391</v>
      </c>
      <c r="F48" s="33" t="str">
        <f t="shared" si="16"/>
        <v>database</v>
      </c>
      <c r="G48" t="s">
        <v>408</v>
      </c>
      <c r="H48" s="33" t="str">
        <f t="shared" si="17"/>
        <v>relational-database</v>
      </c>
      <c r="I48" t="s">
        <v>412</v>
      </c>
      <c r="J48" s="33" t="str">
        <f t="shared" si="18"/>
        <v>machinetag-table</v>
      </c>
      <c r="K48" s="33" t="str">
        <f>Table4[[#This Row],[Intermediate Qualified System Name]]&amp;"--"&amp;Table4[[#This Row],[Collection Intermediate Qualified Name]]&amp;"--"&amp;Table4[[#This Row],[Dataset Intermediate Qualified Name]]</f>
        <v>database--relational-database--machinetag-table</v>
      </c>
      <c r="L48" t="s">
        <v>410</v>
      </c>
      <c r="M48" s="33" t="str">
        <f t="shared" si="19"/>
        <v>tags</v>
      </c>
      <c r="N48" s="33" t="str">
        <f>Table4[[#This Row],[Intermediate Qualified System Name]]&amp;"--"&amp;Table4[[#This Row],[Collection Intermediate Qualified Name]]&amp;"--"&amp;Table4[[#This Row],[Dataset Intermediate Qualified Name]]&amp;"--"&amp;Table4[[#This Row],[Field Intermediate Qualified Name]]</f>
        <v>database--relational-database--machinetag-table--tags</v>
      </c>
      <c r="P48" t="s">
        <v>167</v>
      </c>
    </row>
    <row r="49" spans="2:16" x14ac:dyDescent="0.3">
      <c r="B49">
        <v>48</v>
      </c>
      <c r="C49" s="31" t="s">
        <v>265</v>
      </c>
      <c r="D49" t="s">
        <v>413</v>
      </c>
      <c r="E49" t="s">
        <v>326</v>
      </c>
      <c r="F49" s="33" t="str">
        <f t="shared" si="16"/>
        <v>mqtt</v>
      </c>
      <c r="G49" t="s">
        <v>517</v>
      </c>
      <c r="H49" s="33" t="str">
        <f t="shared" si="17"/>
        <v>machine_info_serial</v>
      </c>
      <c r="I49" t="s">
        <v>412</v>
      </c>
      <c r="J49" s="33" t="str">
        <f t="shared" si="18"/>
        <v>machinetag-table</v>
      </c>
      <c r="K49" s="33" t="str">
        <f>Table4[[#This Row],[Intermediate Qualified System Name]]&amp;"--"&amp;Table4[[#This Row],[Collection Intermediate Qualified Name]]&amp;"--"&amp;Table4[[#This Row],[Dataset Intermediate Qualified Name]]</f>
        <v>mqtt--machine_info_serial--machinetag-table</v>
      </c>
      <c r="L49" t="s">
        <v>414</v>
      </c>
      <c r="M49" s="33" t="str">
        <f t="shared" si="19"/>
        <v>serial</v>
      </c>
      <c r="N49" s="33" t="str">
        <f>Table4[[#This Row],[Intermediate Qualified System Name]]&amp;"--"&amp;Table4[[#This Row],[Collection Intermediate Qualified Name]]&amp;"--"&amp;Table4[[#This Row],[Dataset Intermediate Qualified Name]]&amp;"--"&amp;Table4[[#This Row],[Field Intermediate Qualified Name]]</f>
        <v>mqtt--machine_info_serial--machinetag-table--serial</v>
      </c>
      <c r="P49" t="s">
        <v>167</v>
      </c>
    </row>
    <row r="50" spans="2:16" x14ac:dyDescent="0.3">
      <c r="B50">
        <v>49</v>
      </c>
      <c r="C50" s="31" t="s">
        <v>267</v>
      </c>
      <c r="D50" t="s">
        <v>415</v>
      </c>
      <c r="E50" t="s">
        <v>391</v>
      </c>
      <c r="F50" s="33" t="str">
        <f t="shared" si="16"/>
        <v>database</v>
      </c>
      <c r="G50" t="s">
        <v>408</v>
      </c>
      <c r="H50" s="33" t="str">
        <f t="shared" si="17"/>
        <v>relational-database</v>
      </c>
      <c r="I50" t="s">
        <v>416</v>
      </c>
      <c r="J50" s="33" t="str">
        <f t="shared" si="18"/>
        <v>event-table</v>
      </c>
      <c r="K50" s="33" t="str">
        <f>Table4[[#This Row],[Intermediate Qualified System Name]]&amp;"--"&amp;Table4[[#This Row],[Collection Intermediate Qualified Name]]&amp;"--"&amp;Table4[[#This Row],[Dataset Intermediate Qualified Name]]</f>
        <v>database--relational-database--event-table</v>
      </c>
      <c r="L50" t="s">
        <v>417</v>
      </c>
      <c r="M50" s="33" t="str">
        <f t="shared" si="19"/>
        <v>title</v>
      </c>
      <c r="N50" s="33" t="str">
        <f>Table4[[#This Row],[Intermediate Qualified System Name]]&amp;"--"&amp;Table4[[#This Row],[Collection Intermediate Qualified Name]]&amp;"--"&amp;Table4[[#This Row],[Dataset Intermediate Qualified Name]]&amp;"--"&amp;Table4[[#This Row],[Field Intermediate Qualified Name]]</f>
        <v>database--relational-database--event-table--title</v>
      </c>
      <c r="P50" t="s">
        <v>167</v>
      </c>
    </row>
    <row r="51" spans="2:16" x14ac:dyDescent="0.3">
      <c r="B51">
        <v>50</v>
      </c>
      <c r="C51" s="31" t="s">
        <v>269</v>
      </c>
      <c r="D51" t="s">
        <v>418</v>
      </c>
      <c r="E51" t="s">
        <v>391</v>
      </c>
      <c r="F51" s="33" t="str">
        <f t="shared" si="16"/>
        <v>database</v>
      </c>
      <c r="G51" t="s">
        <v>408</v>
      </c>
      <c r="H51" s="33" t="str">
        <f t="shared" si="17"/>
        <v>relational-database</v>
      </c>
      <c r="I51" t="s">
        <v>419</v>
      </c>
      <c r="J51" s="33" t="str">
        <f t="shared" si="18"/>
        <v>machineevent-table</v>
      </c>
      <c r="K51" s="33" t="str">
        <f>Table4[[#This Row],[Intermediate Qualified System Name]]&amp;"--"&amp;Table4[[#This Row],[Collection Intermediate Qualified Name]]&amp;"--"&amp;Table4[[#This Row],[Dataset Intermediate Qualified Name]]</f>
        <v>database--relational-database--machineevent-table</v>
      </c>
      <c r="L51" t="s">
        <v>420</v>
      </c>
      <c r="M51" s="33" t="str">
        <f t="shared" si="19"/>
        <v>count()</v>
      </c>
      <c r="N51"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1" t="s">
        <v>173</v>
      </c>
    </row>
    <row r="52" spans="2:16" x14ac:dyDescent="0.3">
      <c r="B52">
        <v>51</v>
      </c>
      <c r="C52" s="31" t="s">
        <v>271</v>
      </c>
      <c r="D52" t="s">
        <v>421</v>
      </c>
      <c r="E52" t="s">
        <v>391</v>
      </c>
      <c r="F52" s="33" t="str">
        <f t="shared" si="16"/>
        <v>database</v>
      </c>
      <c r="G52" t="s">
        <v>408</v>
      </c>
      <c r="H52" s="33" t="str">
        <f t="shared" si="17"/>
        <v>relational-database</v>
      </c>
      <c r="I52" t="s">
        <v>419</v>
      </c>
      <c r="J52" s="33" t="str">
        <f t="shared" si="18"/>
        <v>machineevent-table</v>
      </c>
      <c r="K52" s="33" t="str">
        <f>Table4[[#This Row],[Intermediate Qualified System Name]]&amp;"--"&amp;Table4[[#This Row],[Collection Intermediate Qualified Name]]&amp;"--"&amp;Table4[[#This Row],[Dataset Intermediate Qualified Name]]</f>
        <v>database--relational-database--machineevent-table</v>
      </c>
      <c r="L52" t="s">
        <v>420</v>
      </c>
      <c r="M52" s="33" t="str">
        <f t="shared" si="19"/>
        <v>count()</v>
      </c>
      <c r="N52"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2" t="s">
        <v>173</v>
      </c>
    </row>
    <row r="53" spans="2:16" x14ac:dyDescent="0.3">
      <c r="B53">
        <v>52</v>
      </c>
      <c r="C53" s="31" t="s">
        <v>273</v>
      </c>
      <c r="D53" t="s">
        <v>422</v>
      </c>
      <c r="E53" t="s">
        <v>391</v>
      </c>
      <c r="F53" s="33" t="str">
        <f t="shared" si="16"/>
        <v>database</v>
      </c>
      <c r="G53" t="s">
        <v>404</v>
      </c>
      <c r="H53" s="33" t="str">
        <f t="shared" si="17"/>
        <v>object-database</v>
      </c>
      <c r="I53" t="s">
        <v>405</v>
      </c>
      <c r="J53" s="33" t="str">
        <f t="shared" si="18"/>
        <v>ordercontainer</v>
      </c>
      <c r="K53" s="33" t="str">
        <f>Table4[[#This Row],[Intermediate Qualified System Name]]&amp;"--"&amp;Table4[[#This Row],[Collection Intermediate Qualified Name]]&amp;"--"&amp;Table4[[#This Row],[Dataset Intermediate Qualified Name]]</f>
        <v>database--object-database--ordercontainer</v>
      </c>
      <c r="L53" t="s">
        <v>420</v>
      </c>
      <c r="M53" s="33" t="str">
        <f t="shared" si="19"/>
        <v>count()</v>
      </c>
      <c r="N53" s="33" t="str">
        <f>Table4[[#This Row],[Intermediate Qualified System Name]]&amp;"--"&amp;Table4[[#This Row],[Collection Intermediate Qualified Name]]&amp;"--"&amp;Table4[[#This Row],[Dataset Intermediate Qualified Name]]&amp;"--"&amp;Table4[[#This Row],[Field Intermediate Qualified Name]]</f>
        <v>database--object-database--ordercontainer--count()</v>
      </c>
      <c r="P53" t="s">
        <v>173</v>
      </c>
    </row>
    <row r="54" spans="2:16" x14ac:dyDescent="0.3">
      <c r="B54">
        <v>53</v>
      </c>
      <c r="C54" s="31" t="s">
        <v>275</v>
      </c>
      <c r="D54" t="s">
        <v>423</v>
      </c>
      <c r="E54" t="s">
        <v>391</v>
      </c>
      <c r="F54" s="33" t="str">
        <f t="shared" si="16"/>
        <v>database</v>
      </c>
      <c r="G54" t="s">
        <v>404</v>
      </c>
      <c r="H54" s="33" t="str">
        <f t="shared" si="17"/>
        <v>object-database</v>
      </c>
      <c r="I54" t="s">
        <v>405</v>
      </c>
      <c r="J54" s="33" t="str">
        <f t="shared" si="18"/>
        <v>ordercontainer</v>
      </c>
      <c r="K54" s="33" t="str">
        <f>Table4[[#This Row],[Intermediate Qualified System Name]]&amp;"--"&amp;Table4[[#This Row],[Collection Intermediate Qualified Name]]&amp;"--"&amp;Table4[[#This Row],[Dataset Intermediate Qualified Name]]</f>
        <v>database--object-database--ordercontainer</v>
      </c>
      <c r="L54" t="s">
        <v>420</v>
      </c>
      <c r="M54" s="33" t="str">
        <f t="shared" si="19"/>
        <v>count()</v>
      </c>
      <c r="N54" s="33" t="str">
        <f>Table4[[#This Row],[Intermediate Qualified System Name]]&amp;"--"&amp;Table4[[#This Row],[Collection Intermediate Qualified Name]]&amp;"--"&amp;Table4[[#This Row],[Dataset Intermediate Qualified Name]]&amp;"--"&amp;Table4[[#This Row],[Field Intermediate Qualified Name]]</f>
        <v>database--object-database--ordercontainer--count()</v>
      </c>
      <c r="P54" t="s">
        <v>173</v>
      </c>
    </row>
    <row r="55" spans="2:16" x14ac:dyDescent="0.3">
      <c r="B55">
        <v>54</v>
      </c>
      <c r="C55" s="31" t="s">
        <v>277</v>
      </c>
      <c r="D55" t="s">
        <v>424</v>
      </c>
      <c r="E55" t="s">
        <v>391</v>
      </c>
      <c r="F55" s="33" t="str">
        <f t="shared" si="16"/>
        <v>database</v>
      </c>
      <c r="G55" t="s">
        <v>408</v>
      </c>
      <c r="H55" s="33" t="str">
        <f t="shared" si="17"/>
        <v>relational-database</v>
      </c>
      <c r="I55" t="s">
        <v>425</v>
      </c>
      <c r="J55" s="33" t="str">
        <f t="shared" si="18"/>
        <v>event-table</v>
      </c>
      <c r="K55" s="33" t="str">
        <f>Table4[[#This Row],[Intermediate Qualified System Name]]&amp;"--"&amp;Table4[[#This Row],[Collection Intermediate Qualified Name]]&amp;"--"&amp;Table4[[#This Row],[Dataset Intermediate Qualified Name]]</f>
        <v>database--relational-database--event-table</v>
      </c>
      <c r="L55" t="s">
        <v>409</v>
      </c>
      <c r="M55" s="33" t="str">
        <f t="shared" si="19"/>
        <v>eventtype</v>
      </c>
      <c r="N55" s="33" t="str">
        <f>Table4[[#This Row],[Intermediate Qualified System Name]]&amp;"--"&amp;Table4[[#This Row],[Collection Intermediate Qualified Name]]&amp;"--"&amp;Table4[[#This Row],[Dataset Intermediate Qualified Name]]&amp;"--"&amp;Table4[[#This Row],[Field Intermediate Qualified Name]]</f>
        <v>database--relational-database--event-table--eventtype</v>
      </c>
      <c r="P55" t="s">
        <v>167</v>
      </c>
    </row>
    <row r="56" spans="2:16" x14ac:dyDescent="0.3">
      <c r="B56">
        <v>55</v>
      </c>
      <c r="C56" s="31" t="s">
        <v>279</v>
      </c>
      <c r="D56" t="s">
        <v>426</v>
      </c>
      <c r="E56" t="s">
        <v>391</v>
      </c>
      <c r="F56" s="33" t="str">
        <f t="shared" si="16"/>
        <v>database</v>
      </c>
      <c r="G56" t="s">
        <v>408</v>
      </c>
      <c r="H56" s="33" t="str">
        <f t="shared" si="17"/>
        <v>relational-database</v>
      </c>
      <c r="I56" t="s">
        <v>419</v>
      </c>
      <c r="J56" s="33" t="str">
        <f t="shared" si="18"/>
        <v>machineevent-table</v>
      </c>
      <c r="K56" s="33" t="str">
        <f>Table4[[#This Row],[Intermediate Qualified System Name]]&amp;"--"&amp;Table4[[#This Row],[Collection Intermediate Qualified Name]]&amp;"--"&amp;Table4[[#This Row],[Dataset Intermediate Qualified Name]]</f>
        <v>database--relational-database--machineevent-table</v>
      </c>
      <c r="L56" t="s">
        <v>427</v>
      </c>
      <c r="M56" s="33" t="str">
        <f t="shared" si="19"/>
        <v>eventstatus</v>
      </c>
      <c r="N56" s="33" t="str">
        <f>Table4[[#This Row],[Intermediate Qualified System Name]]&amp;"--"&amp;Table4[[#This Row],[Collection Intermediate Qualified Name]]&amp;"--"&amp;Table4[[#This Row],[Dataset Intermediate Qualified Name]]&amp;"--"&amp;Table4[[#This Row],[Field Intermediate Qualified Name]]</f>
        <v>database--relational-database--machineevent-table--eventstatus</v>
      </c>
      <c r="P56" t="s">
        <v>167</v>
      </c>
    </row>
    <row r="57" spans="2:16" x14ac:dyDescent="0.3">
      <c r="B57">
        <v>56</v>
      </c>
      <c r="C57" s="31" t="s">
        <v>281</v>
      </c>
      <c r="D57" s="31" t="s">
        <v>428</v>
      </c>
      <c r="E57" t="s">
        <v>391</v>
      </c>
      <c r="F57" s="33" t="str">
        <f t="shared" si="16"/>
        <v>database</v>
      </c>
      <c r="G57" t="s">
        <v>408</v>
      </c>
      <c r="H57" s="33" t="str">
        <f t="shared" si="17"/>
        <v>relational-database</v>
      </c>
      <c r="I57" t="s">
        <v>396</v>
      </c>
      <c r="J57" s="33" t="str">
        <f t="shared" si="18"/>
        <v>machine-table</v>
      </c>
      <c r="K57" s="33" t="str">
        <f>Table4[[#This Row],[Intermediate Qualified System Name]]&amp;"--"&amp;Table4[[#This Row],[Collection Intermediate Qualified Name]]&amp;"--"&amp;Table4[[#This Row],[Dataset Intermediate Qualified Name]]</f>
        <v>database--relational-database--machine-table</v>
      </c>
      <c r="L57" s="31" t="s">
        <v>429</v>
      </c>
      <c r="M57" s="33" t="str">
        <f t="shared" si="19"/>
        <v>customerid</v>
      </c>
      <c r="N57" s="33" t="str">
        <f>Table4[[#This Row],[Intermediate Qualified System Name]]&amp;"--"&amp;Table4[[#This Row],[Collection Intermediate Qualified Name]]&amp;"--"&amp;Table4[[#This Row],[Dataset Intermediate Qualified Name]]&amp;"--"&amp;Table4[[#This Row],[Field Intermediate Qualified Name]]</f>
        <v>database--relational-database--machine-table--customerid</v>
      </c>
      <c r="P57" s="31" t="s">
        <v>167</v>
      </c>
    </row>
    <row r="58" spans="2:16" x14ac:dyDescent="0.3">
      <c r="B58">
        <v>57</v>
      </c>
      <c r="C58" s="31" t="s">
        <v>283</v>
      </c>
      <c r="D58" s="31" t="s">
        <v>430</v>
      </c>
      <c r="E58" t="s">
        <v>391</v>
      </c>
      <c r="F58" s="33" t="str">
        <f t="shared" si="16"/>
        <v>database</v>
      </c>
      <c r="G58" t="s">
        <v>408</v>
      </c>
      <c r="H58" s="33" t="str">
        <f t="shared" si="17"/>
        <v>relational-database</v>
      </c>
      <c r="I58" t="s">
        <v>396</v>
      </c>
      <c r="J58" s="33" t="str">
        <f t="shared" si="18"/>
        <v>machine-table</v>
      </c>
      <c r="K58" s="33" t="str">
        <f>Table4[[#This Row],[Intermediate Qualified System Name]]&amp;"--"&amp;Table4[[#This Row],[Collection Intermediate Qualified Name]]&amp;"--"&amp;Table4[[#This Row],[Dataset Intermediate Qualified Name]]</f>
        <v>database--relational-database--machine-table</v>
      </c>
      <c r="L58" s="31" t="s">
        <v>431</v>
      </c>
      <c r="M58" s="33" t="str">
        <f t="shared" si="19"/>
        <v>mobiledatausage</v>
      </c>
      <c r="N58" s="33" t="str">
        <f>Table4[[#This Row],[Intermediate Qualified System Name]]&amp;"--"&amp;Table4[[#This Row],[Collection Intermediate Qualified Name]]&amp;"--"&amp;Table4[[#This Row],[Dataset Intermediate Qualified Name]]&amp;"--"&amp;Table4[[#This Row],[Field Intermediate Qualified Name]]</f>
        <v>database--relational-database--machine-table--mobiledatausage</v>
      </c>
      <c r="P58" s="31" t="s">
        <v>167</v>
      </c>
    </row>
    <row r="59" spans="2:16" x14ac:dyDescent="0.3">
      <c r="B59">
        <v>58</v>
      </c>
      <c r="C59" s="31" t="s">
        <v>285</v>
      </c>
      <c r="D59" s="31" t="s">
        <v>432</v>
      </c>
      <c r="E59" t="s">
        <v>391</v>
      </c>
      <c r="F59" s="33" t="str">
        <f t="shared" si="16"/>
        <v>database</v>
      </c>
      <c r="G59" t="s">
        <v>408</v>
      </c>
      <c r="H59" s="33" t="str">
        <f t="shared" si="17"/>
        <v>relational-database</v>
      </c>
      <c r="I59" t="s">
        <v>396</v>
      </c>
      <c r="J59" s="33" t="str">
        <f t="shared" si="18"/>
        <v>machine-table</v>
      </c>
      <c r="K59" s="33" t="str">
        <f>Table4[[#This Row],[Intermediate Qualified System Name]]&amp;"--"&amp;Table4[[#This Row],[Collection Intermediate Qualified Name]]&amp;"--"&amp;Table4[[#This Row],[Dataset Intermediate Qualified Name]]</f>
        <v>database--relational-database--machine-table</v>
      </c>
      <c r="L59" s="31" t="s">
        <v>433</v>
      </c>
      <c r="M59" s="33" t="str">
        <f t="shared" si="19"/>
        <v>pairingdate</v>
      </c>
      <c r="N59" s="33" t="str">
        <f>Table4[[#This Row],[Intermediate Qualified System Name]]&amp;"--"&amp;Table4[[#This Row],[Collection Intermediate Qualified Name]]&amp;"--"&amp;Table4[[#This Row],[Dataset Intermediate Qualified Name]]&amp;"--"&amp;Table4[[#This Row],[Field Intermediate Qualified Name]]</f>
        <v>database--relational-database--machine-table--pairingdate</v>
      </c>
      <c r="P59" s="31" t="s">
        <v>4</v>
      </c>
    </row>
    <row r="60" spans="2:16" x14ac:dyDescent="0.3">
      <c r="B60">
        <v>59</v>
      </c>
      <c r="C60" s="31" t="s">
        <v>287</v>
      </c>
      <c r="D60" t="s">
        <v>434</v>
      </c>
      <c r="E60" t="s">
        <v>435</v>
      </c>
      <c r="F60" s="33" t="str">
        <f t="shared" si="16"/>
        <v>timeseries-database</v>
      </c>
      <c r="G60" t="s">
        <v>436</v>
      </c>
      <c r="H60" s="33" t="str">
        <f t="shared" si="17"/>
        <v>machine_data</v>
      </c>
      <c r="I60" t="s">
        <v>437</v>
      </c>
      <c r="J60" s="33" t="str">
        <f t="shared" si="18"/>
        <v>coffee_machine_events</v>
      </c>
      <c r="K60" s="33" t="str">
        <f>Table4[[#This Row],[Intermediate Qualified System Name]]&amp;"--"&amp;Table4[[#This Row],[Collection Intermediate Qualified Name]]&amp;"--"&amp;Table4[[#This Row],[Dataset Intermediate Qualified Name]]</f>
        <v>timeseries-database--machine_data--coffee_machine_events</v>
      </c>
      <c r="L60" t="s">
        <v>438</v>
      </c>
      <c r="M60" s="33" t="str">
        <f t="shared" si="19"/>
        <v>machine_id​</v>
      </c>
      <c r="N6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timeseries-database--machine_data--coffee_machine_events--machine_id​</v>
      </c>
      <c r="P60" t="s">
        <v>167</v>
      </c>
    </row>
    <row r="61" spans="2:16" x14ac:dyDescent="0.3">
      <c r="B61">
        <v>60</v>
      </c>
      <c r="C61" s="31" t="s">
        <v>289</v>
      </c>
      <c r="D61" t="s">
        <v>439</v>
      </c>
      <c r="E61" t="s">
        <v>435</v>
      </c>
      <c r="F61" s="33" t="str">
        <f t="shared" si="16"/>
        <v>timeseries-database</v>
      </c>
      <c r="G61" t="s">
        <v>436</v>
      </c>
      <c r="H61" s="33" t="str">
        <f t="shared" si="17"/>
        <v>machine_data</v>
      </c>
      <c r="I61" t="s">
        <v>437</v>
      </c>
      <c r="J61" s="33" t="str">
        <f t="shared" si="18"/>
        <v>coffee_machine_events</v>
      </c>
      <c r="K61" s="33" t="str">
        <f>Table4[[#This Row],[Intermediate Qualified System Name]]&amp;"--"&amp;Table4[[#This Row],[Collection Intermediate Qualified Name]]&amp;"--"&amp;Table4[[#This Row],[Dataset Intermediate Qualified Name]]</f>
        <v>timeseries-database--machine_data--coffee_machine_events</v>
      </c>
      <c r="L61" t="s">
        <v>440</v>
      </c>
      <c r="M61" s="33" t="str">
        <f t="shared" si="19"/>
        <v>distributor_id​</v>
      </c>
      <c r="N6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timeseries-database--machine_data--coffee_machine_events--distributor_id​</v>
      </c>
      <c r="P61" t="s">
        <v>167</v>
      </c>
    </row>
    <row r="62" spans="2:16" x14ac:dyDescent="0.3">
      <c r="B62">
        <v>61</v>
      </c>
      <c r="C62" s="31" t="s">
        <v>165</v>
      </c>
      <c r="D62" t="s">
        <v>325</v>
      </c>
      <c r="E62" t="s">
        <v>435</v>
      </c>
      <c r="F62" s="33" t="str">
        <f t="shared" si="16"/>
        <v>timeseries-database</v>
      </c>
      <c r="G62" t="s">
        <v>436</v>
      </c>
      <c r="H62" s="33" t="str">
        <f t="shared" si="17"/>
        <v>machine_data</v>
      </c>
      <c r="I62" t="s">
        <v>437</v>
      </c>
      <c r="J62" s="33" t="str">
        <f t="shared" si="18"/>
        <v>coffee_machine_events</v>
      </c>
      <c r="K62" s="33" t="str">
        <f>Table4[[#This Row],[Intermediate Qualified System Name]]&amp;"--"&amp;Table4[[#This Row],[Collection Intermediate Qualified Name]]&amp;"--"&amp;Table4[[#This Row],[Dataset Intermediate Qualified Name]]</f>
        <v>timeseries-database--machine_data--coffee_machine_events</v>
      </c>
      <c r="L62" t="s">
        <v>441</v>
      </c>
      <c r="M62" s="33" t="str">
        <f t="shared" si="19"/>
        <v>order_beverage​</v>
      </c>
      <c r="N62"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timeseries-database--machine_data--coffee_machine_events--order_beverage​</v>
      </c>
      <c r="P62" t="s">
        <v>167</v>
      </c>
    </row>
    <row r="63" spans="2:16" x14ac:dyDescent="0.3">
      <c r="B63">
        <v>62</v>
      </c>
      <c r="C63" s="31" t="s">
        <v>168</v>
      </c>
      <c r="D63" t="s">
        <v>329</v>
      </c>
      <c r="E63" t="s">
        <v>435</v>
      </c>
      <c r="F63" s="33" t="str">
        <f t="shared" si="16"/>
        <v>timeseries-database</v>
      </c>
      <c r="G63" t="s">
        <v>436</v>
      </c>
      <c r="H63" s="33" t="str">
        <f t="shared" si="17"/>
        <v>machine_data</v>
      </c>
      <c r="I63" t="s">
        <v>437</v>
      </c>
      <c r="J63" s="33" t="str">
        <f t="shared" si="18"/>
        <v>coffee_machine_events</v>
      </c>
      <c r="K63" s="33" t="str">
        <f>Table4[[#This Row],[Intermediate Qualified System Name]]&amp;"--"&amp;Table4[[#This Row],[Collection Intermediate Qualified Name]]&amp;"--"&amp;Table4[[#This Row],[Dataset Intermediate Qualified Name]]</f>
        <v>timeseries-database--machine_data--coffee_machine_events</v>
      </c>
      <c r="L63" t="s">
        <v>442</v>
      </c>
      <c r="M63" s="33" t="str">
        <f t="shared" si="19"/>
        <v>order_volume​</v>
      </c>
      <c r="N63"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timeseries-database--machine_data--coffee_machine_events--order_volume​</v>
      </c>
      <c r="P63" t="s">
        <v>167</v>
      </c>
    </row>
    <row r="64" spans="2:16" x14ac:dyDescent="0.3">
      <c r="B64">
        <v>63</v>
      </c>
      <c r="C64" s="31" t="s">
        <v>171</v>
      </c>
      <c r="D64" t="s">
        <v>330</v>
      </c>
      <c r="E64" t="s">
        <v>435</v>
      </c>
      <c r="F64" s="33" t="str">
        <f t="shared" si="16"/>
        <v>timeseries-database</v>
      </c>
      <c r="G64" t="s">
        <v>436</v>
      </c>
      <c r="H64" s="33" t="str">
        <f t="shared" si="17"/>
        <v>machine_data</v>
      </c>
      <c r="I64" t="s">
        <v>437</v>
      </c>
      <c r="J64" s="33" t="str">
        <f t="shared" si="18"/>
        <v>coffee_machine_events</v>
      </c>
      <c r="K64" s="33" t="str">
        <f>Table4[[#This Row],[Intermediate Qualified System Name]]&amp;"--"&amp;Table4[[#This Row],[Collection Intermediate Qualified Name]]&amp;"--"&amp;Table4[[#This Row],[Dataset Intermediate Qualified Name]]</f>
        <v>timeseries-database--machine_data--coffee_machine_events</v>
      </c>
      <c r="L64" t="s">
        <v>443</v>
      </c>
      <c r="M64" s="33" t="str">
        <f t="shared" si="19"/>
        <v>order_ml​</v>
      </c>
      <c r="N64"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timeseries-database--machine_data--coffee_machine_events--order_ml​</v>
      </c>
      <c r="P64" t="s">
        <v>173</v>
      </c>
    </row>
    <row r="65" spans="2:16" x14ac:dyDescent="0.3">
      <c r="B65">
        <v>64</v>
      </c>
      <c r="C65" s="31" t="s">
        <v>174</v>
      </c>
      <c r="D65" t="s">
        <v>331</v>
      </c>
      <c r="E65" t="s">
        <v>435</v>
      </c>
      <c r="F65" s="33" t="str">
        <f t="shared" si="16"/>
        <v>timeseries-database</v>
      </c>
      <c r="G65" t="s">
        <v>436</v>
      </c>
      <c r="H65" s="33" t="str">
        <f t="shared" si="17"/>
        <v>machine_data</v>
      </c>
      <c r="I65" t="s">
        <v>437</v>
      </c>
      <c r="J65" s="33" t="str">
        <f t="shared" si="18"/>
        <v>coffee_machine_events</v>
      </c>
      <c r="K65" s="33" t="str">
        <f>Table4[[#This Row],[Intermediate Qualified System Name]]&amp;"--"&amp;Table4[[#This Row],[Collection Intermediate Qualified Name]]&amp;"--"&amp;Table4[[#This Row],[Dataset Intermediate Qualified Name]]</f>
        <v>timeseries-database--machine_data--coffee_machine_events</v>
      </c>
      <c r="L65" t="s">
        <v>444</v>
      </c>
      <c r="M65" s="33" t="str">
        <f t="shared" si="19"/>
        <v>order_strength​</v>
      </c>
      <c r="N65"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timeseries-database--machine_data--coffee_machine_events--order_strength​</v>
      </c>
      <c r="P65" t="s">
        <v>173</v>
      </c>
    </row>
    <row r="66" spans="2:16" x14ac:dyDescent="0.3">
      <c r="B66">
        <v>65</v>
      </c>
      <c r="C66" s="31" t="s">
        <v>176</v>
      </c>
      <c r="D66" t="s">
        <v>332</v>
      </c>
      <c r="E66" t="s">
        <v>435</v>
      </c>
      <c r="F66" s="33" t="str">
        <f t="shared" si="16"/>
        <v>timeseries-database</v>
      </c>
      <c r="G66" t="s">
        <v>436</v>
      </c>
      <c r="H66" s="33" t="str">
        <f t="shared" si="17"/>
        <v>machine_data</v>
      </c>
      <c r="I66" t="s">
        <v>437</v>
      </c>
      <c r="J66" s="33" t="str">
        <f t="shared" si="18"/>
        <v>coffee_machine_events</v>
      </c>
      <c r="K66" s="33" t="str">
        <f>Table4[[#This Row],[Intermediate Qualified System Name]]&amp;"--"&amp;Table4[[#This Row],[Collection Intermediate Qualified Name]]&amp;"--"&amp;Table4[[#This Row],[Dataset Intermediate Qualified Name]]</f>
        <v>timeseries-database--machine_data--coffee_machine_events</v>
      </c>
      <c r="L66" t="s">
        <v>445</v>
      </c>
      <c r="M66" s="33" t="str">
        <f t="shared" si="19"/>
        <v>order_etc​</v>
      </c>
      <c r="N66"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timeseries-database--machine_data--coffee_machine_events--order_etc​</v>
      </c>
      <c r="P66" t="s">
        <v>173</v>
      </c>
    </row>
    <row r="67" spans="2:16" x14ac:dyDescent="0.3">
      <c r="B67">
        <v>66</v>
      </c>
      <c r="C67" s="31" t="s">
        <v>178</v>
      </c>
      <c r="D67" t="s">
        <v>334</v>
      </c>
      <c r="E67" t="s">
        <v>435</v>
      </c>
      <c r="F67" s="33" t="str">
        <f t="shared" si="16"/>
        <v>timeseries-database</v>
      </c>
      <c r="G67" t="s">
        <v>436</v>
      </c>
      <c r="H67" s="33" t="str">
        <f t="shared" si="17"/>
        <v>machine_data</v>
      </c>
      <c r="I67" t="s">
        <v>437</v>
      </c>
      <c r="J67" s="33" t="str">
        <f t="shared" si="18"/>
        <v>coffee_machine_events</v>
      </c>
      <c r="K67" s="33" t="str">
        <f>Table4[[#This Row],[Intermediate Qualified System Name]]&amp;"--"&amp;Table4[[#This Row],[Collection Intermediate Qualified Name]]&amp;"--"&amp;Table4[[#This Row],[Dataset Intermediate Qualified Name]]</f>
        <v>timeseries-database--machine_data--coffee_machine_events</v>
      </c>
      <c r="L67" t="s">
        <v>446</v>
      </c>
      <c r="M67" s="33" t="str">
        <f t="shared" si="19"/>
        <v>order_sugar</v>
      </c>
      <c r="N67"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timeseries-database--machine_data--coffee_machine_events--order_sugar</v>
      </c>
      <c r="P67" t="s">
        <v>173</v>
      </c>
    </row>
    <row r="68" spans="2:16" x14ac:dyDescent="0.3">
      <c r="B68">
        <v>67</v>
      </c>
      <c r="C68" s="31" t="s">
        <v>180</v>
      </c>
      <c r="D68" t="s">
        <v>335</v>
      </c>
      <c r="E68" t="s">
        <v>435</v>
      </c>
      <c r="F68" s="33" t="str">
        <f t="shared" si="16"/>
        <v>timeseries-database</v>
      </c>
      <c r="G68" t="s">
        <v>436</v>
      </c>
      <c r="H68" s="33" t="str">
        <f t="shared" si="17"/>
        <v>machine_data</v>
      </c>
      <c r="I68" t="s">
        <v>437</v>
      </c>
      <c r="J68" s="33" t="str">
        <f t="shared" si="18"/>
        <v>coffee_machine_events</v>
      </c>
      <c r="K68" s="33" t="str">
        <f>Table4[[#This Row],[Intermediate Qualified System Name]]&amp;"--"&amp;Table4[[#This Row],[Collection Intermediate Qualified Name]]&amp;"--"&amp;Table4[[#This Row],[Dataset Intermediate Qualified Name]]</f>
        <v>timeseries-database--machine_data--coffee_machine_events</v>
      </c>
      <c r="L68" t="s">
        <v>447</v>
      </c>
      <c r="M68" s="33" t="str">
        <f t="shared" si="19"/>
        <v>order_topping​</v>
      </c>
      <c r="N68"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timeseries-database--machine_data--coffee_machine_events--order_topping​</v>
      </c>
      <c r="P68" t="s">
        <v>173</v>
      </c>
    </row>
    <row r="69" spans="2:16" x14ac:dyDescent="0.3">
      <c r="B69">
        <v>68</v>
      </c>
      <c r="C69" s="31" t="s">
        <v>198</v>
      </c>
      <c r="D69" t="s">
        <v>349</v>
      </c>
      <c r="E69" t="s">
        <v>435</v>
      </c>
      <c r="F69" s="33" t="str">
        <f t="shared" si="16"/>
        <v>timeseries-database</v>
      </c>
      <c r="G69" t="s">
        <v>436</v>
      </c>
      <c r="H69" s="33" t="str">
        <f t="shared" si="17"/>
        <v>machine_data</v>
      </c>
      <c r="I69" t="s">
        <v>437</v>
      </c>
      <c r="J69" s="33" t="str">
        <f t="shared" si="18"/>
        <v>coffee_machine_events</v>
      </c>
      <c r="K69" s="33" t="str">
        <f>Table4[[#This Row],[Intermediate Qualified System Name]]&amp;"--"&amp;Table4[[#This Row],[Collection Intermediate Qualified Name]]&amp;"--"&amp;Table4[[#This Row],[Dataset Intermediate Qualified Name]]</f>
        <v>timeseries-database--machine_data--coffee_machine_events</v>
      </c>
      <c r="L69" t="s">
        <v>448</v>
      </c>
      <c r="M69" s="33" t="str">
        <f t="shared" si="19"/>
        <v>​event_id​</v>
      </c>
      <c r="N69" s="33" t="str">
        <f>Table4[[#This Row],[Intermediate Qualified System Name]]&amp;"--"&amp;Table4[[#This Row],[Collection Intermediate Qualified Name]]&amp;"--"&amp;Table4[[#This Row],[Dataset Intermediate Qualified Name]]&amp;"--"&amp;Table4[[#This Row],[Field Intermediate Qualified Name]]</f>
        <v>timeseries-database--machine_data--coffee_machine_events--​event_id​</v>
      </c>
      <c r="P69" t="s">
        <v>167</v>
      </c>
    </row>
    <row r="70" spans="2:16" x14ac:dyDescent="0.3">
      <c r="B70">
        <v>69</v>
      </c>
      <c r="C70" s="31" t="s">
        <v>291</v>
      </c>
      <c r="D70" t="s">
        <v>449</v>
      </c>
      <c r="E70" t="s">
        <v>435</v>
      </c>
      <c r="F70" s="33" t="str">
        <f t="shared" si="16"/>
        <v>timeseries-database</v>
      </c>
      <c r="G70" t="s">
        <v>436</v>
      </c>
      <c r="H70" s="33" t="str">
        <f t="shared" si="17"/>
        <v>machine_data</v>
      </c>
      <c r="I70" t="s">
        <v>437</v>
      </c>
      <c r="J70" s="33" t="str">
        <f t="shared" si="18"/>
        <v>coffee_machine_events</v>
      </c>
      <c r="K70" s="33" t="str">
        <f>Table4[[#This Row],[Intermediate Qualified System Name]]&amp;"--"&amp;Table4[[#This Row],[Collection Intermediate Qualified Name]]&amp;"--"&amp;Table4[[#This Row],[Dataset Intermediate Qualified Name]]</f>
        <v>timeseries-database--machine_data--coffee_machine_events</v>
      </c>
      <c r="L70" t="s">
        <v>450</v>
      </c>
      <c r="M70" s="33" t="str">
        <f t="shared" si="19"/>
        <v>default_timestamp</v>
      </c>
      <c r="N7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timeseries-database--machine_data--coffee_machine_events--default_timestamp</v>
      </c>
      <c r="P70" t="s">
        <v>4</v>
      </c>
    </row>
    <row r="71" spans="2:16" x14ac:dyDescent="0.3">
      <c r="B71">
        <v>70</v>
      </c>
      <c r="C71" s="31" t="s">
        <v>293</v>
      </c>
      <c r="D71" t="s">
        <v>451</v>
      </c>
      <c r="E71" t="s">
        <v>435</v>
      </c>
      <c r="F71" s="33" t="str">
        <f t="shared" si="16"/>
        <v>timeseries-database</v>
      </c>
      <c r="G71" t="s">
        <v>436</v>
      </c>
      <c r="H71" s="33" t="str">
        <f t="shared" si="17"/>
        <v>machine_data</v>
      </c>
      <c r="I71" t="s">
        <v>437</v>
      </c>
      <c r="J71" s="33" t="str">
        <f t="shared" si="18"/>
        <v>coffee_machine_events</v>
      </c>
      <c r="K71" s="33" t="str">
        <f>Table4[[#This Row],[Intermediate Qualified System Name]]&amp;"--"&amp;Table4[[#This Row],[Collection Intermediate Qualified Name]]&amp;"--"&amp;Table4[[#This Row],[Dataset Intermediate Qualified Name]]</f>
        <v>timeseries-database--machine_data--coffee_machine_events</v>
      </c>
      <c r="L71" t="s">
        <v>452</v>
      </c>
      <c r="M71" s="33" t="str">
        <f t="shared" si="19"/>
        <v>occurred_at​</v>
      </c>
      <c r="N7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timeseries-database--machine_data--coffee_machine_events--occurred_at​</v>
      </c>
      <c r="P71" t="s">
        <v>4</v>
      </c>
    </row>
    <row r="72" spans="2:16" x14ac:dyDescent="0.3">
      <c r="B72">
        <v>71</v>
      </c>
      <c r="C72" s="31" t="s">
        <v>287</v>
      </c>
      <c r="D72" s="31" t="s">
        <v>434</v>
      </c>
      <c r="E72" t="s">
        <v>391</v>
      </c>
      <c r="F72" s="33" t="str">
        <f t="shared" si="16"/>
        <v>database</v>
      </c>
      <c r="G72" t="s">
        <v>408</v>
      </c>
      <c r="H72" s="33" t="str">
        <f t="shared" si="17"/>
        <v>relational-database</v>
      </c>
      <c r="I72" t="s">
        <v>453</v>
      </c>
      <c r="J72" s="33" t="str">
        <f t="shared" si="18"/>
        <v>consumption-table</v>
      </c>
      <c r="K72" s="33" t="str">
        <f>Table4[[#This Row],[Intermediate Qualified System Name]]&amp;"--"&amp;Table4[[#This Row],[Collection Intermediate Qualified Name]]&amp;"--"&amp;Table4[[#This Row],[Dataset Intermediate Qualified Name]]</f>
        <v>database--relational-database--consumption-table</v>
      </c>
      <c r="L72" s="31" t="s">
        <v>438</v>
      </c>
      <c r="M72" s="33" t="str">
        <f t="shared" si="19"/>
        <v>machine_id​</v>
      </c>
      <c r="N72" s="33" t="str">
        <f>Table4[[#This Row],[Intermediate Qualified System Name]]&amp;"--"&amp;Table4[[#This Row],[Collection Intermediate Qualified Name]]&amp;"--"&amp;Table4[[#This Row],[Dataset Intermediate Qualified Name]]&amp;"--"&amp;Table4[[#This Row],[Field Intermediate Qualified Name]]</f>
        <v>database--relational-database--consumption-table--machine_id​</v>
      </c>
      <c r="P72" s="31" t="s">
        <v>167</v>
      </c>
    </row>
    <row r="73" spans="2:16" x14ac:dyDescent="0.3">
      <c r="B73">
        <v>72</v>
      </c>
      <c r="C73" s="31" t="s">
        <v>289</v>
      </c>
      <c r="D73" s="31" t="s">
        <v>439</v>
      </c>
      <c r="E73" t="s">
        <v>391</v>
      </c>
      <c r="F73" s="33" t="str">
        <f t="shared" si="16"/>
        <v>database</v>
      </c>
      <c r="G73" t="s">
        <v>408</v>
      </c>
      <c r="H73" s="33" t="str">
        <f t="shared" si="17"/>
        <v>relational-database</v>
      </c>
      <c r="I73" t="s">
        <v>453</v>
      </c>
      <c r="J73" s="33" t="str">
        <f t="shared" si="18"/>
        <v>consumption-table</v>
      </c>
      <c r="K73" s="33" t="str">
        <f>Table4[[#This Row],[Intermediate Qualified System Name]]&amp;"--"&amp;Table4[[#This Row],[Collection Intermediate Qualified Name]]&amp;"--"&amp;Table4[[#This Row],[Dataset Intermediate Qualified Name]]</f>
        <v>database--relational-database--consumption-table</v>
      </c>
      <c r="L73" s="31" t="s">
        <v>440</v>
      </c>
      <c r="M73" s="33" t="str">
        <f t="shared" si="19"/>
        <v>distributor_id​</v>
      </c>
      <c r="N73" s="33" t="str">
        <f>Table4[[#This Row],[Intermediate Qualified System Name]]&amp;"--"&amp;Table4[[#This Row],[Collection Intermediate Qualified Name]]&amp;"--"&amp;Table4[[#This Row],[Dataset Intermediate Qualified Name]]&amp;"--"&amp;Table4[[#This Row],[Field Intermediate Qualified Name]]</f>
        <v>database--relational-database--consumption-table--distributor_id​</v>
      </c>
      <c r="P73" s="31" t="s">
        <v>167</v>
      </c>
    </row>
    <row r="74" spans="2:16" x14ac:dyDescent="0.3">
      <c r="B74">
        <v>73</v>
      </c>
      <c r="C74" s="31" t="s">
        <v>165</v>
      </c>
      <c r="D74" s="31" t="s">
        <v>325</v>
      </c>
      <c r="E74" t="s">
        <v>391</v>
      </c>
      <c r="F74" s="33" t="str">
        <f t="shared" si="16"/>
        <v>database</v>
      </c>
      <c r="G74" t="s">
        <v>408</v>
      </c>
      <c r="H74" s="33" t="str">
        <f t="shared" si="17"/>
        <v>relational-database</v>
      </c>
      <c r="I74" t="s">
        <v>453</v>
      </c>
      <c r="J74" s="33" t="str">
        <f t="shared" si="18"/>
        <v>consumption-table</v>
      </c>
      <c r="K74" s="33" t="str">
        <f>Table4[[#This Row],[Intermediate Qualified System Name]]&amp;"--"&amp;Table4[[#This Row],[Collection Intermediate Qualified Name]]&amp;"--"&amp;Table4[[#This Row],[Dataset Intermediate Qualified Name]]</f>
        <v>database--relational-database--consumption-table</v>
      </c>
      <c r="L74" s="31" t="s">
        <v>441</v>
      </c>
      <c r="M74" s="33" t="str">
        <f t="shared" si="19"/>
        <v>order_beverage​</v>
      </c>
      <c r="N74" s="33" t="str">
        <f>Table4[[#This Row],[Intermediate Qualified System Name]]&amp;"--"&amp;Table4[[#This Row],[Collection Intermediate Qualified Name]]&amp;"--"&amp;Table4[[#This Row],[Dataset Intermediate Qualified Name]]&amp;"--"&amp;Table4[[#This Row],[Field Intermediate Qualified Name]]</f>
        <v>database--relational-database--consumption-table--order_beverage​</v>
      </c>
      <c r="P74" s="31" t="s">
        <v>167</v>
      </c>
    </row>
    <row r="75" spans="2:16" x14ac:dyDescent="0.3">
      <c r="B75">
        <v>74</v>
      </c>
      <c r="C75" s="31" t="s">
        <v>171</v>
      </c>
      <c r="D75" t="s">
        <v>330</v>
      </c>
      <c r="E75" s="31" t="s">
        <v>391</v>
      </c>
      <c r="F75" s="33" t="str">
        <f t="shared" si="16"/>
        <v>database</v>
      </c>
      <c r="G75" t="s">
        <v>408</v>
      </c>
      <c r="H75" s="33" t="str">
        <f t="shared" si="17"/>
        <v>relational-database</v>
      </c>
      <c r="I75" s="31" t="s">
        <v>453</v>
      </c>
      <c r="J75" s="33" t="str">
        <f t="shared" si="18"/>
        <v>consumption-table</v>
      </c>
      <c r="K75" s="33" t="str">
        <f>Table4[[#This Row],[Intermediate Qualified System Name]]&amp;"--"&amp;Table4[[#This Row],[Collection Intermediate Qualified Name]]&amp;"--"&amp;Table4[[#This Row],[Dataset Intermediate Qualified Name]]</f>
        <v>database--relational-database--consumption-table</v>
      </c>
      <c r="L75" t="s">
        <v>443</v>
      </c>
      <c r="M75" s="33" t="str">
        <f t="shared" si="19"/>
        <v>order_ml​</v>
      </c>
      <c r="N75" s="33" t="str">
        <f>Table4[[#This Row],[Intermediate Qualified System Name]]&amp;"--"&amp;Table4[[#This Row],[Collection Intermediate Qualified Name]]&amp;"--"&amp;Table4[[#This Row],[Dataset Intermediate Qualified Name]]&amp;"--"&amp;Table4[[#This Row],[Field Intermediate Qualified Name]]</f>
        <v>database--relational-database--consumption-table--order_ml​</v>
      </c>
      <c r="P75" t="s">
        <v>167</v>
      </c>
    </row>
    <row r="76" spans="2:16" x14ac:dyDescent="0.3">
      <c r="B76">
        <v>75</v>
      </c>
      <c r="C76" s="31" t="s">
        <v>295</v>
      </c>
      <c r="D76" t="s">
        <v>454</v>
      </c>
      <c r="E76" s="31" t="s">
        <v>391</v>
      </c>
      <c r="F76" s="33" t="str">
        <f t="shared" si="16"/>
        <v>database</v>
      </c>
      <c r="G76" t="s">
        <v>408</v>
      </c>
      <c r="H76" s="33" t="str">
        <f t="shared" si="17"/>
        <v>relational-database</v>
      </c>
      <c r="I76" s="31" t="s">
        <v>453</v>
      </c>
      <c r="J76" s="33" t="str">
        <f t="shared" si="18"/>
        <v>consumption-table</v>
      </c>
      <c r="K76" s="33" t="str">
        <f>Table4[[#This Row],[Intermediate Qualified System Name]]&amp;"--"&amp;Table4[[#This Row],[Collection Intermediate Qualified Name]]&amp;"--"&amp;Table4[[#This Row],[Dataset Intermediate Qualified Name]]</f>
        <v>database--relational-database--consumption-table</v>
      </c>
      <c r="L76" t="s">
        <v>455</v>
      </c>
      <c r="M76" s="33" t="str">
        <f t="shared" si="19"/>
        <v>quantity</v>
      </c>
      <c r="N76" s="33" t="str">
        <f>Table4[[#This Row],[Intermediate Qualified System Name]]&amp;"--"&amp;Table4[[#This Row],[Collection Intermediate Qualified Name]]&amp;"--"&amp;Table4[[#This Row],[Dataset Intermediate Qualified Name]]&amp;"--"&amp;Table4[[#This Row],[Field Intermediate Qualified Name]]</f>
        <v>database--relational-database--consumption-table--quantity</v>
      </c>
      <c r="P76" t="s">
        <v>173</v>
      </c>
    </row>
    <row r="77" spans="2:16" x14ac:dyDescent="0.3">
      <c r="B77">
        <v>76</v>
      </c>
      <c r="C77" s="31" t="s">
        <v>297</v>
      </c>
      <c r="D77" t="s">
        <v>456</v>
      </c>
      <c r="E77" s="31" t="s">
        <v>391</v>
      </c>
      <c r="F77" s="33" t="str">
        <f t="shared" si="16"/>
        <v>database</v>
      </c>
      <c r="G77" t="s">
        <v>408</v>
      </c>
      <c r="H77" s="33" t="str">
        <f t="shared" si="17"/>
        <v>relational-database</v>
      </c>
      <c r="I77" s="31" t="s">
        <v>453</v>
      </c>
      <c r="J77" s="33" t="str">
        <f t="shared" si="18"/>
        <v>consumption-table</v>
      </c>
      <c r="K77" s="33" t="str">
        <f>Table4[[#This Row],[Intermediate Qualified System Name]]&amp;"--"&amp;Table4[[#This Row],[Collection Intermediate Qualified Name]]&amp;"--"&amp;Table4[[#This Row],[Dataset Intermediate Qualified Name]]</f>
        <v>database--relational-database--consumption-table</v>
      </c>
      <c r="L77" t="s">
        <v>457</v>
      </c>
      <c r="M77" s="33" t="str">
        <f t="shared" si="19"/>
        <v>timestamp_hour​</v>
      </c>
      <c r="N77" s="33" t="str">
        <f>Table4[[#This Row],[Intermediate Qualified System Name]]&amp;"--"&amp;Table4[[#This Row],[Collection Intermediate Qualified Name]]&amp;"--"&amp;Table4[[#This Row],[Dataset Intermediate Qualified Name]]&amp;"--"&amp;Table4[[#This Row],[Field Intermediate Qualified Name]]</f>
        <v>database--relational-database--consumption-table--timestamp_hour​</v>
      </c>
      <c r="P77" t="s">
        <v>4</v>
      </c>
    </row>
    <row r="78" spans="2:16" x14ac:dyDescent="0.3">
      <c r="B78">
        <v>77</v>
      </c>
      <c r="C78" s="31" t="s">
        <v>299</v>
      </c>
      <c r="D78" t="s">
        <v>458</v>
      </c>
      <c r="E78" s="31" t="s">
        <v>391</v>
      </c>
      <c r="F78" s="33" t="str">
        <f t="shared" si="16"/>
        <v>database</v>
      </c>
      <c r="G78" t="s">
        <v>408</v>
      </c>
      <c r="H78" s="33" t="str">
        <f t="shared" si="17"/>
        <v>relational-database</v>
      </c>
      <c r="I78" s="31" t="s">
        <v>453</v>
      </c>
      <c r="J78" s="33" t="str">
        <f t="shared" si="18"/>
        <v>consumption-table</v>
      </c>
      <c r="K78" s="33" t="str">
        <f>Table4[[#This Row],[Intermediate Qualified System Name]]&amp;"--"&amp;Table4[[#This Row],[Collection Intermediate Qualified Name]]&amp;"--"&amp;Table4[[#This Row],[Dataset Intermediate Qualified Name]]</f>
        <v>database--relational-database--consumption-table</v>
      </c>
      <c r="L78" t="s">
        <v>459</v>
      </c>
      <c r="M78" s="33" t="str">
        <f t="shared" si="19"/>
        <v>aggregated_at​</v>
      </c>
      <c r="N78" s="33" t="str">
        <f>Table4[[#This Row],[Intermediate Qualified System Name]]&amp;"--"&amp;Table4[[#This Row],[Collection Intermediate Qualified Name]]&amp;"--"&amp;Table4[[#This Row],[Dataset Intermediate Qualified Name]]&amp;"--"&amp;Table4[[#This Row],[Field Intermediate Qualified Name]]</f>
        <v>database--relational-database--consumption-table--aggregated_at​</v>
      </c>
      <c r="P78" t="s">
        <v>4</v>
      </c>
    </row>
    <row r="79" spans="2:16" x14ac:dyDescent="0.3">
      <c r="B79">
        <v>78</v>
      </c>
      <c r="C79" s="31" t="s">
        <v>302</v>
      </c>
      <c r="D79" t="s">
        <v>460</v>
      </c>
      <c r="E79" s="31" t="s">
        <v>391</v>
      </c>
      <c r="F79" s="33" t="str">
        <f t="shared" si="16"/>
        <v>database</v>
      </c>
      <c r="G79" t="s">
        <v>408</v>
      </c>
      <c r="H79" s="33" t="str">
        <f t="shared" si="17"/>
        <v>relational-database</v>
      </c>
      <c r="I79" s="31" t="s">
        <v>461</v>
      </c>
      <c r="J79" s="33" t="str">
        <f t="shared" si="18"/>
        <v>recipe-update-notification</v>
      </c>
      <c r="K79" s="33" t="str">
        <f>Table4[[#This Row],[Intermediate Qualified System Name]]&amp;"--"&amp;Table4[[#This Row],[Collection Intermediate Qualified Name]]&amp;"--"&amp;Table4[[#This Row],[Dataset Intermediate Qualified Name]]</f>
        <v>database--relational-database--recipe-update-notification</v>
      </c>
      <c r="L79" t="s">
        <v>462</v>
      </c>
      <c r="M79" s="33" t="str">
        <f t="shared" si="19"/>
        <v>notification_id</v>
      </c>
      <c r="N7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database--relational-database--recipe-update-notification--notification_id</v>
      </c>
      <c r="P79" t="s">
        <v>167</v>
      </c>
    </row>
    <row r="80" spans="2:16" x14ac:dyDescent="0.3">
      <c r="B80">
        <v>79</v>
      </c>
      <c r="C80" s="31" t="s">
        <v>304</v>
      </c>
      <c r="D80" s="31" t="s">
        <v>463</v>
      </c>
      <c r="E80" s="31" t="s">
        <v>391</v>
      </c>
      <c r="F80" s="33" t="str">
        <f t="shared" si="16"/>
        <v>database</v>
      </c>
      <c r="G80" t="s">
        <v>408</v>
      </c>
      <c r="H80" s="33" t="str">
        <f t="shared" si="17"/>
        <v>relational-database</v>
      </c>
      <c r="I80" s="31" t="s">
        <v>461</v>
      </c>
      <c r="J80" s="33" t="str">
        <f t="shared" si="18"/>
        <v>recipe-update-notification</v>
      </c>
      <c r="K80" s="33" t="str">
        <f>Table4[[#This Row],[Intermediate Qualified System Name]]&amp;"--"&amp;Table4[[#This Row],[Collection Intermediate Qualified Name]]&amp;"--"&amp;Table4[[#This Row],[Dataset Intermediate Qualified Name]]</f>
        <v>database--relational-database--recipe-update-notification</v>
      </c>
      <c r="L80" s="31" t="s">
        <v>464</v>
      </c>
      <c r="M80" s="33" t="str">
        <f t="shared" si="19"/>
        <v>sent_at</v>
      </c>
      <c r="N80" s="33" t="str">
        <f>Table4[[#This Row],[Intermediate Qualified System Name]]&amp;"--"&amp;Table4[[#This Row],[Collection Intermediate Qualified Name]]&amp;"--"&amp;Table4[[#This Row],[Dataset Intermediate Qualified Name]]&amp;"--"&amp;Table4[[#This Row],[Field Intermediate Qualified Name]]</f>
        <v>database--relational-database--recipe-update-notification--sent_at</v>
      </c>
      <c r="P80" s="31" t="s">
        <v>4</v>
      </c>
    </row>
    <row r="81" spans="1:17" x14ac:dyDescent="0.3">
      <c r="B81">
        <v>80</v>
      </c>
      <c r="C81" s="31" t="s">
        <v>289</v>
      </c>
      <c r="D81" t="s">
        <v>439</v>
      </c>
      <c r="E81" s="31" t="s">
        <v>391</v>
      </c>
      <c r="F81" s="33" t="str">
        <f t="shared" si="16"/>
        <v>database</v>
      </c>
      <c r="G81" t="s">
        <v>408</v>
      </c>
      <c r="H81" s="33" t="str">
        <f t="shared" si="17"/>
        <v>relational-database</v>
      </c>
      <c r="I81" s="31" t="s">
        <v>461</v>
      </c>
      <c r="J81" s="33" t="str">
        <f t="shared" si="18"/>
        <v>recipe-update-notification</v>
      </c>
      <c r="K81" s="33" t="str">
        <f>Table4[[#This Row],[Intermediate Qualified System Name]]&amp;"--"&amp;Table4[[#This Row],[Collection Intermediate Qualified Name]]&amp;"--"&amp;Table4[[#This Row],[Dataset Intermediate Qualified Name]]</f>
        <v>database--relational-database--recipe-update-notification</v>
      </c>
      <c r="L81" t="s">
        <v>465</v>
      </c>
      <c r="M81" s="33" t="str">
        <f t="shared" si="19"/>
        <v>distributor_id</v>
      </c>
      <c r="N81" s="33" t="str">
        <f>Table4[[#This Row],[Intermediate Qualified System Name]]&amp;"--"&amp;Table4[[#This Row],[Collection Intermediate Qualified Name]]&amp;"--"&amp;Table4[[#This Row],[Dataset Intermediate Qualified Name]]&amp;"--"&amp;Table4[[#This Row],[Field Intermediate Qualified Name]]</f>
        <v>database--relational-database--recipe-update-notification--distributor_id</v>
      </c>
      <c r="P81" t="s">
        <v>167</v>
      </c>
    </row>
    <row r="82" spans="1:17" x14ac:dyDescent="0.3">
      <c r="B82">
        <v>81</v>
      </c>
      <c r="C82" s="31" t="s">
        <v>287</v>
      </c>
      <c r="D82" t="s">
        <v>434</v>
      </c>
      <c r="E82" s="31" t="s">
        <v>391</v>
      </c>
      <c r="F82" s="33" t="str">
        <f t="shared" si="16"/>
        <v>database</v>
      </c>
      <c r="G82" t="s">
        <v>408</v>
      </c>
      <c r="H82" s="33" t="str">
        <f t="shared" si="17"/>
        <v>relational-database</v>
      </c>
      <c r="I82" s="31" t="s">
        <v>461</v>
      </c>
      <c r="J82" s="33" t="str">
        <f t="shared" si="18"/>
        <v>recipe-update-notification</v>
      </c>
      <c r="K82" s="33" t="str">
        <f>Table4[[#This Row],[Intermediate Qualified System Name]]&amp;"--"&amp;Table4[[#This Row],[Collection Intermediate Qualified Name]]&amp;"--"&amp;Table4[[#This Row],[Dataset Intermediate Qualified Name]]</f>
        <v>database--relational-database--recipe-update-notification</v>
      </c>
      <c r="L82" t="s">
        <v>466</v>
      </c>
      <c r="M82" s="33" t="str">
        <f t="shared" si="19"/>
        <v>machine_id</v>
      </c>
      <c r="N82"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database--relational-database--recipe-update-notification--machine_id</v>
      </c>
      <c r="P82" t="s">
        <v>167</v>
      </c>
    </row>
    <row r="83" spans="1:17" x14ac:dyDescent="0.3">
      <c r="B83">
        <v>82</v>
      </c>
      <c r="C83" s="31" t="s">
        <v>306</v>
      </c>
      <c r="D83" t="s">
        <v>467</v>
      </c>
      <c r="E83" s="31" t="s">
        <v>391</v>
      </c>
      <c r="F83" s="33" t="str">
        <f t="shared" si="16"/>
        <v>database</v>
      </c>
      <c r="G83" t="s">
        <v>408</v>
      </c>
      <c r="H83" s="33" t="str">
        <f t="shared" si="17"/>
        <v>relational-database</v>
      </c>
      <c r="I83" s="31" t="s">
        <v>461</v>
      </c>
      <c r="J83" s="33" t="str">
        <f t="shared" si="18"/>
        <v>recipe-update-notification</v>
      </c>
      <c r="K83" s="33" t="str">
        <f>Table4[[#This Row],[Intermediate Qualified System Name]]&amp;"--"&amp;Table4[[#This Row],[Collection Intermediate Qualified Name]]&amp;"--"&amp;Table4[[#This Row],[Dataset Intermediate Qualified Name]]</f>
        <v>database--relational-database--recipe-update-notification</v>
      </c>
      <c r="L83" t="s">
        <v>468</v>
      </c>
      <c r="M83" s="33" t="str">
        <f t="shared" si="19"/>
        <v>recipe_id</v>
      </c>
      <c r="N83" s="33" t="str">
        <f>Table4[[#This Row],[Intermediate Qualified System Name]]&amp;"--"&amp;Table4[[#This Row],[Collection Intermediate Qualified Name]]&amp;"--"&amp;Table4[[#This Row],[Dataset Intermediate Qualified Name]]&amp;"--"&amp;Table4[[#This Row],[Field Intermediate Qualified Name]]</f>
        <v>database--relational-database--recipe-update-notification--recipe_id</v>
      </c>
      <c r="P83" t="s">
        <v>167</v>
      </c>
    </row>
    <row r="84" spans="1:17" x14ac:dyDescent="0.3">
      <c r="B84">
        <v>83</v>
      </c>
      <c r="C84" s="31" t="s">
        <v>308</v>
      </c>
      <c r="D84" t="s">
        <v>469</v>
      </c>
      <c r="E84" s="31" t="s">
        <v>391</v>
      </c>
      <c r="F84" s="33" t="str">
        <f t="shared" si="16"/>
        <v>database</v>
      </c>
      <c r="G84" t="s">
        <v>408</v>
      </c>
      <c r="H84" s="33" t="str">
        <f t="shared" si="17"/>
        <v>relational-database</v>
      </c>
      <c r="I84" s="31" t="s">
        <v>461</v>
      </c>
      <c r="J84" s="33" t="str">
        <f t="shared" si="18"/>
        <v>recipe-update-notification</v>
      </c>
      <c r="K84" s="33" t="str">
        <f>Table4[[#This Row],[Intermediate Qualified System Name]]&amp;"--"&amp;Table4[[#This Row],[Collection Intermediate Qualified Name]]&amp;"--"&amp;Table4[[#This Row],[Dataset Intermediate Qualified Name]]</f>
        <v>database--relational-database--recipe-update-notification</v>
      </c>
      <c r="L84" t="s">
        <v>470</v>
      </c>
      <c r="M84" s="33" t="str">
        <f t="shared" si="19"/>
        <v>target_version</v>
      </c>
      <c r="N84" s="33" t="str">
        <f>Table4[[#This Row],[Intermediate Qualified System Name]]&amp;"--"&amp;Table4[[#This Row],[Collection Intermediate Qualified Name]]&amp;"--"&amp;Table4[[#This Row],[Dataset Intermediate Qualified Name]]&amp;"--"&amp;Table4[[#This Row],[Field Intermediate Qualified Name]]</f>
        <v>database--relational-database--recipe-update-notification--target_version</v>
      </c>
      <c r="P84" t="s">
        <v>167</v>
      </c>
    </row>
    <row r="85" spans="1:17" x14ac:dyDescent="0.3">
      <c r="B85">
        <v>84</v>
      </c>
      <c r="C85" s="31" t="s">
        <v>310</v>
      </c>
      <c r="D85" t="s">
        <v>471</v>
      </c>
      <c r="E85" s="31" t="s">
        <v>391</v>
      </c>
      <c r="F85" s="33" t="str">
        <f t="shared" si="16"/>
        <v>database</v>
      </c>
      <c r="G85" t="s">
        <v>408</v>
      </c>
      <c r="H85" s="33" t="str">
        <f t="shared" si="17"/>
        <v>relational-database</v>
      </c>
      <c r="I85" s="31" t="s">
        <v>461</v>
      </c>
      <c r="J85" s="33" t="str">
        <f t="shared" si="18"/>
        <v>recipe-update-notification</v>
      </c>
      <c r="K85" s="33" t="str">
        <f>Table4[[#This Row],[Intermediate Qualified System Name]]&amp;"--"&amp;Table4[[#This Row],[Collection Intermediate Qualified Name]]&amp;"--"&amp;Table4[[#This Row],[Dataset Intermediate Qualified Name]]</f>
        <v>database--relational-database--recipe-update-notification</v>
      </c>
      <c r="L85" t="s">
        <v>472</v>
      </c>
      <c r="M85" s="33" t="str">
        <f t="shared" si="19"/>
        <v>artifact_uri</v>
      </c>
      <c r="N85"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database--relational-database--recipe-update-notification--artifact_uri</v>
      </c>
      <c r="P85" t="s">
        <v>167</v>
      </c>
    </row>
    <row r="86" spans="1:17" x14ac:dyDescent="0.3">
      <c r="B86">
        <v>85</v>
      </c>
      <c r="C86" s="31" t="s">
        <v>312</v>
      </c>
      <c r="D86" s="31" t="s">
        <v>473</v>
      </c>
      <c r="E86" s="31" t="s">
        <v>391</v>
      </c>
      <c r="F86" s="33" t="str">
        <f t="shared" si="16"/>
        <v>database</v>
      </c>
      <c r="G86" t="s">
        <v>408</v>
      </c>
      <c r="H86" s="33" t="str">
        <f t="shared" si="17"/>
        <v>relational-database</v>
      </c>
      <c r="I86" s="31" t="s">
        <v>461</v>
      </c>
      <c r="J86" s="33" t="str">
        <f t="shared" si="18"/>
        <v>recipe-update-notification</v>
      </c>
      <c r="K86" s="33" t="str">
        <f>Table4[[#This Row],[Intermediate Qualified System Name]]&amp;"--"&amp;Table4[[#This Row],[Collection Intermediate Qualified Name]]&amp;"--"&amp;Table4[[#This Row],[Dataset Intermediate Qualified Name]]</f>
        <v>database--relational-database--recipe-update-notification</v>
      </c>
      <c r="L86" s="31" t="s">
        <v>474</v>
      </c>
      <c r="M86" s="33" t="str">
        <f t="shared" si="19"/>
        <v>artifact_sha256</v>
      </c>
      <c r="N86"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database--relational-database--recipe-update-notification--artifact_sha256</v>
      </c>
      <c r="P86" s="31" t="s">
        <v>167</v>
      </c>
    </row>
    <row r="87" spans="1:17" x14ac:dyDescent="0.3">
      <c r="A87" s="79"/>
      <c r="B87">
        <v>86</v>
      </c>
      <c r="C87" s="31" t="s">
        <v>314</v>
      </c>
      <c r="D87" t="s">
        <v>475</v>
      </c>
      <c r="E87" s="31" t="s">
        <v>391</v>
      </c>
      <c r="F87" s="33" t="str">
        <f t="shared" si="16"/>
        <v>database</v>
      </c>
      <c r="G87" t="s">
        <v>408</v>
      </c>
      <c r="H87" s="33" t="str">
        <f t="shared" si="17"/>
        <v>relational-database</v>
      </c>
      <c r="I87" s="31" t="s">
        <v>461</v>
      </c>
      <c r="J87" s="33" t="str">
        <f t="shared" si="18"/>
        <v>recipe-update-notification</v>
      </c>
      <c r="K87" s="33" t="str">
        <f>Table4[[#This Row],[Intermediate Qualified System Name]]&amp;"--"&amp;Table4[[#This Row],[Collection Intermediate Qualified Name]]&amp;"--"&amp;Table4[[#This Row],[Dataset Intermediate Qualified Name]]</f>
        <v>database--relational-database--recipe-update-notification</v>
      </c>
      <c r="L87" t="s">
        <v>476</v>
      </c>
      <c r="M87" s="33" t="str">
        <f t="shared" si="19"/>
        <v>size_bytes</v>
      </c>
      <c r="N87" s="33" t="str">
        <f>Table4[[#This Row],[Intermediate Qualified System Name]]&amp;"--"&amp;Table4[[#This Row],[Collection Intermediate Qualified Name]]&amp;"--"&amp;Table4[[#This Row],[Dataset Intermediate Qualified Name]]&amp;"--"&amp;Table4[[#This Row],[Field Intermediate Qualified Name]]</f>
        <v>database--relational-database--recipe-update-notification--size_bytes</v>
      </c>
      <c r="P87" s="31" t="s">
        <v>173</v>
      </c>
    </row>
    <row r="88" spans="1:17" x14ac:dyDescent="0.3">
      <c r="A88" s="79"/>
      <c r="B88">
        <v>87</v>
      </c>
      <c r="C88" s="31" t="s">
        <v>316</v>
      </c>
      <c r="D88" t="s">
        <v>477</v>
      </c>
      <c r="E88" s="31" t="s">
        <v>391</v>
      </c>
      <c r="F88" s="33" t="str">
        <f t="shared" si="16"/>
        <v>database</v>
      </c>
      <c r="G88" t="s">
        <v>408</v>
      </c>
      <c r="H88" s="33" t="str">
        <f t="shared" si="17"/>
        <v>relational-database</v>
      </c>
      <c r="I88" s="31" t="s">
        <v>461</v>
      </c>
      <c r="J88" s="33" t="str">
        <f t="shared" si="18"/>
        <v>recipe-update-notification</v>
      </c>
      <c r="K88" s="33" t="str">
        <f>Table4[[#This Row],[Intermediate Qualified System Name]]&amp;"--"&amp;Table4[[#This Row],[Collection Intermediate Qualified Name]]&amp;"--"&amp;Table4[[#This Row],[Dataset Intermediate Qualified Name]]</f>
        <v>database--relational-database--recipe-update-notification</v>
      </c>
      <c r="L88" t="s">
        <v>478</v>
      </c>
      <c r="M88" s="33" t="str">
        <f t="shared" si="19"/>
        <v>mandatory</v>
      </c>
      <c r="N88"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database--relational-database--recipe-update-notification--mandatory</v>
      </c>
      <c r="P88" s="31" t="s">
        <v>167</v>
      </c>
    </row>
    <row r="89" spans="1:17" x14ac:dyDescent="0.3">
      <c r="A89" s="79"/>
      <c r="B89">
        <v>88</v>
      </c>
      <c r="C89" s="31" t="s">
        <v>318</v>
      </c>
      <c r="D89" t="s">
        <v>479</v>
      </c>
      <c r="E89" s="31" t="s">
        <v>391</v>
      </c>
      <c r="F89" s="33" t="str">
        <f t="shared" si="16"/>
        <v>database</v>
      </c>
      <c r="G89" t="s">
        <v>408</v>
      </c>
      <c r="H89" s="33" t="str">
        <f t="shared" si="17"/>
        <v>relational-database</v>
      </c>
      <c r="I89" s="31" t="s">
        <v>461</v>
      </c>
      <c r="J89" s="33" t="str">
        <f t="shared" si="18"/>
        <v>recipe-update-notification</v>
      </c>
      <c r="K89" s="33" t="str">
        <f>Table4[[#This Row],[Intermediate Qualified System Name]]&amp;"--"&amp;Table4[[#This Row],[Collection Intermediate Qualified Name]]&amp;"--"&amp;Table4[[#This Row],[Dataset Intermediate Qualified Name]]</f>
        <v>database--relational-database--recipe-update-notification</v>
      </c>
      <c r="L89" t="s">
        <v>480</v>
      </c>
      <c r="M89" s="33" t="str">
        <f t="shared" si="19"/>
        <v>notes</v>
      </c>
      <c r="N8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database--relational-database--recipe-update-notification--notes</v>
      </c>
      <c r="P89" s="31" t="s">
        <v>167</v>
      </c>
    </row>
    <row r="90" spans="1:17" x14ac:dyDescent="0.3">
      <c r="A90" s="79"/>
      <c r="B90">
        <v>89</v>
      </c>
      <c r="C90" s="108" t="s">
        <v>302</v>
      </c>
      <c r="D90" s="109" t="s">
        <v>460</v>
      </c>
      <c r="E90" s="110" t="s">
        <v>481</v>
      </c>
      <c r="F90" s="111" t="str">
        <f t="shared" ref="F90:F109" si="20">SUBSTITUTE(SUBSTITUTE(SUBSTITUTE(SUBSTITUTE(LOWER(E90),"&amp;",""),"-",""),"  ","-")," ","-")</f>
        <v>kafka-cluster</v>
      </c>
      <c r="G90" s="110" t="s">
        <v>482</v>
      </c>
      <c r="H90" s="111" t="str">
        <f t="shared" ref="H90:H109" si="21">SUBSTITUTE(SUBSTITUTE(SUBSTITUTE(SUBSTITUTE(LOWER(G90),"&amp;",""),"-",""),"  ","-")," ","-")</f>
        <v>recipe-notification-topic</v>
      </c>
      <c r="I90" s="108" t="s">
        <v>461</v>
      </c>
      <c r="J90" s="111" t="str">
        <f t="shared" ref="J90:J109" si="22">SUBSTITUTE(SUBSTITUTE(SUBSTITUTE(SUBSTITUTE(LOWER(I90),"&amp;",""),"-",""),"  ","-")," ","-")</f>
        <v>recipe-update-notification</v>
      </c>
      <c r="K90" s="33" t="str">
        <f>Table4[[#This Row],[Intermediate Qualified System Name]]&amp;"--"&amp;Table4[[#This Row],[Collection Intermediate Qualified Name]]&amp;"--"&amp;Table4[[#This Row],[Dataset Intermediate Qualified Name]]</f>
        <v>kafka-cluster--recipe-notification-topic--recipe-update-notification</v>
      </c>
      <c r="L90" s="110" t="s">
        <v>462</v>
      </c>
      <c r="M90" s="111" t="str">
        <f t="shared" ref="M90:M109" si="23">SUBSTITUTE(SUBSTITUTE(SUBSTITUTE(LOWER(L90),"&amp;",""),"  ","-")," ","-")</f>
        <v>notification_id</v>
      </c>
      <c r="N9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kafka-cluster--recipe-notification-topic--recipe-update-notification--notification_id</v>
      </c>
      <c r="O90" s="108"/>
      <c r="P90" s="110" t="s">
        <v>167</v>
      </c>
      <c r="Q90" s="111"/>
    </row>
    <row r="91" spans="1:17" x14ac:dyDescent="0.3">
      <c r="A91" s="79"/>
      <c r="B91">
        <v>90</v>
      </c>
      <c r="C91" s="108" t="s">
        <v>304</v>
      </c>
      <c r="D91" s="109" t="s">
        <v>463</v>
      </c>
      <c r="E91" s="110" t="s">
        <v>481</v>
      </c>
      <c r="F91" s="111" t="str">
        <f t="shared" si="20"/>
        <v>kafka-cluster</v>
      </c>
      <c r="G91" s="110" t="s">
        <v>482</v>
      </c>
      <c r="H91" s="111" t="str">
        <f t="shared" si="21"/>
        <v>recipe-notification-topic</v>
      </c>
      <c r="I91" s="108" t="s">
        <v>461</v>
      </c>
      <c r="J91" s="111" t="str">
        <f t="shared" si="22"/>
        <v>recipe-update-notification</v>
      </c>
      <c r="K91" s="33" t="str">
        <f>Table4[[#This Row],[Intermediate Qualified System Name]]&amp;"--"&amp;Table4[[#This Row],[Collection Intermediate Qualified Name]]&amp;"--"&amp;Table4[[#This Row],[Dataset Intermediate Qualified Name]]</f>
        <v>kafka-cluster--recipe-notification-topic--recipe-update-notification</v>
      </c>
      <c r="L91" s="110" t="s">
        <v>464</v>
      </c>
      <c r="M91" s="111" t="str">
        <f t="shared" si="23"/>
        <v>sent_at</v>
      </c>
      <c r="N91"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kafka-cluster--recipe-notification-topic--recipe-update-notification--sent_at</v>
      </c>
      <c r="O91" s="108"/>
      <c r="P91" s="110" t="s">
        <v>4</v>
      </c>
      <c r="Q91" s="111"/>
    </row>
    <row r="92" spans="1:17" x14ac:dyDescent="0.3">
      <c r="A92" s="79"/>
      <c r="B92">
        <v>91</v>
      </c>
      <c r="C92" s="110" t="s">
        <v>289</v>
      </c>
      <c r="D92" s="109" t="s">
        <v>439</v>
      </c>
      <c r="E92" s="110" t="s">
        <v>481</v>
      </c>
      <c r="F92" s="111" t="str">
        <f t="shared" si="20"/>
        <v>kafka-cluster</v>
      </c>
      <c r="G92" s="110" t="s">
        <v>482</v>
      </c>
      <c r="H92" s="111" t="str">
        <f t="shared" si="21"/>
        <v>recipe-notification-topic</v>
      </c>
      <c r="I92" s="108" t="s">
        <v>461</v>
      </c>
      <c r="J92" s="111" t="str">
        <f t="shared" si="22"/>
        <v>recipe-update-notification</v>
      </c>
      <c r="K92" s="33" t="str">
        <f>Table4[[#This Row],[Intermediate Qualified System Name]]&amp;"--"&amp;Table4[[#This Row],[Collection Intermediate Qualified Name]]&amp;"--"&amp;Table4[[#This Row],[Dataset Intermediate Qualified Name]]</f>
        <v>kafka-cluster--recipe-notification-topic--recipe-update-notification</v>
      </c>
      <c r="L92" s="110" t="s">
        <v>465</v>
      </c>
      <c r="M92" s="111" t="str">
        <f t="shared" si="23"/>
        <v>distributor_id</v>
      </c>
      <c r="N92"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kafka-cluster--recipe-notification-topic--recipe-update-notification--distributor_id</v>
      </c>
      <c r="O92" s="108"/>
      <c r="P92" s="110" t="s">
        <v>167</v>
      </c>
      <c r="Q92" s="111"/>
    </row>
    <row r="93" spans="1:17" x14ac:dyDescent="0.3">
      <c r="B93">
        <v>92</v>
      </c>
      <c r="C93" s="110" t="s">
        <v>287</v>
      </c>
      <c r="D93" s="109" t="s">
        <v>434</v>
      </c>
      <c r="E93" s="110" t="s">
        <v>481</v>
      </c>
      <c r="F93" s="111" t="str">
        <f t="shared" si="20"/>
        <v>kafka-cluster</v>
      </c>
      <c r="G93" s="110" t="s">
        <v>482</v>
      </c>
      <c r="H93" s="111" t="str">
        <f t="shared" si="21"/>
        <v>recipe-notification-topic</v>
      </c>
      <c r="I93" s="108" t="s">
        <v>461</v>
      </c>
      <c r="J93" s="111" t="str">
        <f t="shared" si="22"/>
        <v>recipe-update-notification</v>
      </c>
      <c r="K93" s="33" t="str">
        <f>Table4[[#This Row],[Intermediate Qualified System Name]]&amp;"--"&amp;Table4[[#This Row],[Collection Intermediate Qualified Name]]&amp;"--"&amp;Table4[[#This Row],[Dataset Intermediate Qualified Name]]</f>
        <v>kafka-cluster--recipe-notification-topic--recipe-update-notification</v>
      </c>
      <c r="L93" s="110" t="s">
        <v>466</v>
      </c>
      <c r="M93" s="111" t="str">
        <f t="shared" si="23"/>
        <v>machine_id</v>
      </c>
      <c r="N93"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kafka-cluster--recipe-notification-topic--recipe-update-notification--machine_id</v>
      </c>
      <c r="O93" s="108"/>
      <c r="P93" s="110" t="s">
        <v>167</v>
      </c>
      <c r="Q93" s="111"/>
    </row>
    <row r="94" spans="1:17" x14ac:dyDescent="0.3">
      <c r="B94">
        <v>93</v>
      </c>
      <c r="C94" s="110" t="s">
        <v>306</v>
      </c>
      <c r="D94" s="109" t="s">
        <v>467</v>
      </c>
      <c r="E94" s="110" t="s">
        <v>481</v>
      </c>
      <c r="F94" s="111" t="str">
        <f t="shared" si="20"/>
        <v>kafka-cluster</v>
      </c>
      <c r="G94" s="110" t="s">
        <v>482</v>
      </c>
      <c r="H94" s="111" t="str">
        <f t="shared" si="21"/>
        <v>recipe-notification-topic</v>
      </c>
      <c r="I94" s="108" t="s">
        <v>461</v>
      </c>
      <c r="J94" s="111" t="str">
        <f t="shared" si="22"/>
        <v>recipe-update-notification</v>
      </c>
      <c r="K94" s="33" t="str">
        <f>Table4[[#This Row],[Intermediate Qualified System Name]]&amp;"--"&amp;Table4[[#This Row],[Collection Intermediate Qualified Name]]&amp;"--"&amp;Table4[[#This Row],[Dataset Intermediate Qualified Name]]</f>
        <v>kafka-cluster--recipe-notification-topic--recipe-update-notification</v>
      </c>
      <c r="L94" s="110" t="s">
        <v>468</v>
      </c>
      <c r="M94" s="111" t="str">
        <f t="shared" si="23"/>
        <v>recipe_id</v>
      </c>
      <c r="N94"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kafka-cluster--recipe-notification-topic--recipe-update-notification--recipe_id</v>
      </c>
      <c r="O94" s="108"/>
      <c r="P94" s="110" t="s">
        <v>167</v>
      </c>
      <c r="Q94" s="111"/>
    </row>
    <row r="95" spans="1:17" x14ac:dyDescent="0.3">
      <c r="B95">
        <v>94</v>
      </c>
      <c r="C95" s="108" t="s">
        <v>308</v>
      </c>
      <c r="D95" s="109" t="s">
        <v>469</v>
      </c>
      <c r="E95" s="110" t="s">
        <v>481</v>
      </c>
      <c r="F95" s="111" t="str">
        <f t="shared" si="20"/>
        <v>kafka-cluster</v>
      </c>
      <c r="G95" s="110" t="s">
        <v>482</v>
      </c>
      <c r="H95" s="111" t="str">
        <f t="shared" si="21"/>
        <v>recipe-notification-topic</v>
      </c>
      <c r="I95" s="108" t="s">
        <v>461</v>
      </c>
      <c r="J95" s="111" t="str">
        <f t="shared" si="22"/>
        <v>recipe-update-notification</v>
      </c>
      <c r="K95" s="33" t="str">
        <f>Table4[[#This Row],[Intermediate Qualified System Name]]&amp;"--"&amp;Table4[[#This Row],[Collection Intermediate Qualified Name]]&amp;"--"&amp;Table4[[#This Row],[Dataset Intermediate Qualified Name]]</f>
        <v>kafka-cluster--recipe-notification-topic--recipe-update-notification</v>
      </c>
      <c r="L95" s="110" t="s">
        <v>470</v>
      </c>
      <c r="M95" s="111" t="str">
        <f t="shared" si="23"/>
        <v>target_version</v>
      </c>
      <c r="N95"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kafka-cluster--recipe-notification-topic--recipe-update-notification--target_version</v>
      </c>
      <c r="O95" s="108"/>
      <c r="P95" s="110" t="s">
        <v>167</v>
      </c>
      <c r="Q95" s="111"/>
    </row>
    <row r="96" spans="1:17" x14ac:dyDescent="0.3">
      <c r="B96">
        <v>95</v>
      </c>
      <c r="C96" s="108" t="s">
        <v>310</v>
      </c>
      <c r="D96" s="109" t="s">
        <v>471</v>
      </c>
      <c r="E96" s="110" t="s">
        <v>481</v>
      </c>
      <c r="F96" s="111" t="str">
        <f t="shared" si="20"/>
        <v>kafka-cluster</v>
      </c>
      <c r="G96" s="110" t="s">
        <v>482</v>
      </c>
      <c r="H96" s="111" t="str">
        <f t="shared" si="21"/>
        <v>recipe-notification-topic</v>
      </c>
      <c r="I96" s="108" t="s">
        <v>461</v>
      </c>
      <c r="J96" s="111" t="str">
        <f t="shared" si="22"/>
        <v>recipe-update-notification</v>
      </c>
      <c r="K96" s="33" t="str">
        <f>Table4[[#This Row],[Intermediate Qualified System Name]]&amp;"--"&amp;Table4[[#This Row],[Collection Intermediate Qualified Name]]&amp;"--"&amp;Table4[[#This Row],[Dataset Intermediate Qualified Name]]</f>
        <v>kafka-cluster--recipe-notification-topic--recipe-update-notification</v>
      </c>
      <c r="L96" s="110" t="s">
        <v>472</v>
      </c>
      <c r="M96" s="111" t="str">
        <f t="shared" si="23"/>
        <v>artifact_uri</v>
      </c>
      <c r="N96"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kafka-cluster--recipe-notification-topic--recipe-update-notification--artifact_uri</v>
      </c>
      <c r="O96" s="108"/>
      <c r="P96" s="110" t="s">
        <v>167</v>
      </c>
      <c r="Q96" s="111"/>
    </row>
    <row r="97" spans="1:17" x14ac:dyDescent="0.3">
      <c r="B97">
        <v>96</v>
      </c>
      <c r="C97" s="108" t="s">
        <v>312</v>
      </c>
      <c r="D97" s="109" t="s">
        <v>473</v>
      </c>
      <c r="E97" s="110" t="s">
        <v>481</v>
      </c>
      <c r="F97" s="111" t="str">
        <f t="shared" si="20"/>
        <v>kafka-cluster</v>
      </c>
      <c r="G97" s="110" t="s">
        <v>482</v>
      </c>
      <c r="H97" s="111" t="str">
        <f t="shared" si="21"/>
        <v>recipe-notification-topic</v>
      </c>
      <c r="I97" s="108" t="s">
        <v>461</v>
      </c>
      <c r="J97" s="111" t="str">
        <f t="shared" si="22"/>
        <v>recipe-update-notification</v>
      </c>
      <c r="K97" s="33" t="str">
        <f>Table4[[#This Row],[Intermediate Qualified System Name]]&amp;"--"&amp;Table4[[#This Row],[Collection Intermediate Qualified Name]]&amp;"--"&amp;Table4[[#This Row],[Dataset Intermediate Qualified Name]]</f>
        <v>kafka-cluster--recipe-notification-topic--recipe-update-notification</v>
      </c>
      <c r="L97" s="110" t="s">
        <v>474</v>
      </c>
      <c r="M97" s="111" t="str">
        <f t="shared" si="23"/>
        <v>artifact_sha256</v>
      </c>
      <c r="N97"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kafka-cluster--recipe-notification-topic--recipe-update-notification--artifact_sha256</v>
      </c>
      <c r="O97" s="108"/>
      <c r="P97" s="110" t="s">
        <v>167</v>
      </c>
      <c r="Q97" s="111"/>
    </row>
    <row r="98" spans="1:17" x14ac:dyDescent="0.3">
      <c r="B98">
        <v>97</v>
      </c>
      <c r="C98" s="110" t="s">
        <v>314</v>
      </c>
      <c r="D98" s="109" t="s">
        <v>475</v>
      </c>
      <c r="E98" s="110" t="s">
        <v>481</v>
      </c>
      <c r="F98" s="111" t="str">
        <f t="shared" si="20"/>
        <v>kafka-cluster</v>
      </c>
      <c r="G98" s="110" t="s">
        <v>482</v>
      </c>
      <c r="H98" s="111" t="str">
        <f t="shared" si="21"/>
        <v>recipe-notification-topic</v>
      </c>
      <c r="I98" s="108" t="s">
        <v>461</v>
      </c>
      <c r="J98" s="111" t="str">
        <f t="shared" si="22"/>
        <v>recipe-update-notification</v>
      </c>
      <c r="K98" s="33" t="str">
        <f>Table4[[#This Row],[Intermediate Qualified System Name]]&amp;"--"&amp;Table4[[#This Row],[Collection Intermediate Qualified Name]]&amp;"--"&amp;Table4[[#This Row],[Dataset Intermediate Qualified Name]]</f>
        <v>kafka-cluster--recipe-notification-topic--recipe-update-notification</v>
      </c>
      <c r="L98" s="110" t="s">
        <v>476</v>
      </c>
      <c r="M98" s="111" t="str">
        <f t="shared" si="23"/>
        <v>size_bytes</v>
      </c>
      <c r="N98"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kafka-cluster--recipe-notification-topic--recipe-update-notification--size_bytes</v>
      </c>
      <c r="O98" s="108"/>
      <c r="P98" s="110" t="s">
        <v>173</v>
      </c>
      <c r="Q98" s="111"/>
    </row>
    <row r="99" spans="1:17" x14ac:dyDescent="0.3">
      <c r="A99" s="79"/>
      <c r="B99">
        <v>98</v>
      </c>
      <c r="C99" s="110" t="s">
        <v>316</v>
      </c>
      <c r="D99" s="109" t="s">
        <v>477</v>
      </c>
      <c r="E99" s="110" t="s">
        <v>481</v>
      </c>
      <c r="F99" s="111" t="str">
        <f t="shared" si="20"/>
        <v>kafka-cluster</v>
      </c>
      <c r="G99" s="110" t="s">
        <v>482</v>
      </c>
      <c r="H99" s="111" t="str">
        <f t="shared" si="21"/>
        <v>recipe-notification-topic</v>
      </c>
      <c r="I99" s="108" t="s">
        <v>461</v>
      </c>
      <c r="J99" s="111" t="str">
        <f t="shared" si="22"/>
        <v>recipe-update-notification</v>
      </c>
      <c r="K99" s="33" t="str">
        <f>Table4[[#This Row],[Intermediate Qualified System Name]]&amp;"--"&amp;Table4[[#This Row],[Collection Intermediate Qualified Name]]&amp;"--"&amp;Table4[[#This Row],[Dataset Intermediate Qualified Name]]</f>
        <v>kafka-cluster--recipe-notification-topic--recipe-update-notification</v>
      </c>
      <c r="L99" s="110" t="s">
        <v>478</v>
      </c>
      <c r="M99" s="111" t="str">
        <f t="shared" si="23"/>
        <v>mandatory</v>
      </c>
      <c r="N99"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kafka-cluster--recipe-notification-topic--recipe-update-notification--mandatory</v>
      </c>
      <c r="O99" s="108"/>
      <c r="P99" s="110" t="s">
        <v>167</v>
      </c>
      <c r="Q99" s="111"/>
    </row>
    <row r="100" spans="1:17" x14ac:dyDescent="0.3">
      <c r="A100" s="79"/>
      <c r="B100">
        <v>99</v>
      </c>
      <c r="C100" s="110" t="s">
        <v>318</v>
      </c>
      <c r="D100" s="109" t="s">
        <v>479</v>
      </c>
      <c r="E100" s="110" t="s">
        <v>481</v>
      </c>
      <c r="F100" s="111" t="str">
        <f t="shared" si="20"/>
        <v>kafka-cluster</v>
      </c>
      <c r="G100" s="110" t="s">
        <v>482</v>
      </c>
      <c r="H100" s="111" t="str">
        <f t="shared" si="21"/>
        <v>recipe-notification-topic</v>
      </c>
      <c r="I100" s="108" t="s">
        <v>461</v>
      </c>
      <c r="J100" s="111" t="str">
        <f t="shared" si="22"/>
        <v>recipe-update-notification</v>
      </c>
      <c r="K100" s="33" t="str">
        <f>Table4[[#This Row],[Intermediate Qualified System Name]]&amp;"--"&amp;Table4[[#This Row],[Collection Intermediate Qualified Name]]&amp;"--"&amp;Table4[[#This Row],[Dataset Intermediate Qualified Name]]</f>
        <v>kafka-cluster--recipe-notification-topic--recipe-update-notification</v>
      </c>
      <c r="L100" s="110" t="s">
        <v>480</v>
      </c>
      <c r="M100" s="111" t="str">
        <f t="shared" si="23"/>
        <v>notes</v>
      </c>
      <c r="N10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kafka-cluster--recipe-notification-topic--recipe-update-notification--notes</v>
      </c>
      <c r="O100" s="112"/>
      <c r="P100" s="110" t="s">
        <v>167</v>
      </c>
      <c r="Q100" s="111"/>
    </row>
    <row r="101" spans="1:17" x14ac:dyDescent="0.3">
      <c r="A101" s="79"/>
      <c r="B101">
        <v>100</v>
      </c>
      <c r="C101" s="113" t="s">
        <v>198</v>
      </c>
      <c r="D101" s="114" t="s">
        <v>349</v>
      </c>
      <c r="E101" s="113" t="s">
        <v>481</v>
      </c>
      <c r="F101" s="115" t="str">
        <f t="shared" si="20"/>
        <v>kafka-cluster</v>
      </c>
      <c r="G101" s="113" t="s">
        <v>483</v>
      </c>
      <c r="H101" s="115" t="str">
        <f t="shared" si="21"/>
        <v>beverage-event-topic</v>
      </c>
      <c r="I101" s="116" t="s">
        <v>484</v>
      </c>
      <c r="J101" s="115" t="str">
        <f t="shared" si="22"/>
        <v>beverage-event</v>
      </c>
      <c r="K101" s="33" t="str">
        <f>Table4[[#This Row],[Intermediate Qualified System Name]]&amp;"--"&amp;Table4[[#This Row],[Collection Intermediate Qualified Name]]&amp;"--"&amp;Table4[[#This Row],[Dataset Intermediate Qualified Name]]</f>
        <v>kafka-cluster--beverage-event-topic--beverage-event</v>
      </c>
      <c r="L101" s="113" t="s">
        <v>485</v>
      </c>
      <c r="M101" s="115" t="str">
        <f t="shared" si="23"/>
        <v>event_id</v>
      </c>
      <c r="N101" s="33" t="str">
        <f>Table4[[#This Row],[Intermediate Qualified System Name]]&amp;"--"&amp;Table4[[#This Row],[Collection Intermediate Qualified Name]]&amp;"--"&amp;Table4[[#This Row],[Dataset Intermediate Qualified Name]]&amp;"--"&amp;Table4[[#This Row],[Field Intermediate Qualified Name]]</f>
        <v>kafka-cluster--beverage-event-topic--beverage-event--event_id</v>
      </c>
      <c r="O101" s="116"/>
      <c r="P101" s="113" t="s">
        <v>167</v>
      </c>
      <c r="Q101" s="115"/>
    </row>
    <row r="102" spans="1:17" x14ac:dyDescent="0.3">
      <c r="A102" s="79"/>
      <c r="B102">
        <v>101</v>
      </c>
      <c r="C102" s="113" t="s">
        <v>293</v>
      </c>
      <c r="D102" s="114" t="s">
        <v>451</v>
      </c>
      <c r="E102" s="113" t="s">
        <v>481</v>
      </c>
      <c r="F102" s="115" t="str">
        <f t="shared" si="20"/>
        <v>kafka-cluster</v>
      </c>
      <c r="G102" s="113" t="s">
        <v>483</v>
      </c>
      <c r="H102" s="115" t="str">
        <f t="shared" si="21"/>
        <v>beverage-event-topic</v>
      </c>
      <c r="I102" s="116" t="s">
        <v>484</v>
      </c>
      <c r="J102" s="115" t="str">
        <f t="shared" si="22"/>
        <v>beverage-event</v>
      </c>
      <c r="K102" s="33" t="str">
        <f>Table4[[#This Row],[Intermediate Qualified System Name]]&amp;"--"&amp;Table4[[#This Row],[Collection Intermediate Qualified Name]]&amp;"--"&amp;Table4[[#This Row],[Dataset Intermediate Qualified Name]]</f>
        <v>kafka-cluster--beverage-event-topic--beverage-event</v>
      </c>
      <c r="L102" s="113" t="s">
        <v>452</v>
      </c>
      <c r="M102" s="115" t="str">
        <f t="shared" si="23"/>
        <v>occurred_at​</v>
      </c>
      <c r="N102" s="33" t="str">
        <f>Table4[[#This Row],[Intermediate Qualified System Name]]&amp;"--"&amp;Table4[[#This Row],[Collection Intermediate Qualified Name]]&amp;"--"&amp;Table4[[#This Row],[Dataset Intermediate Qualified Name]]&amp;"--"&amp;Table4[[#This Row],[Field Intermediate Qualified Name]]</f>
        <v>kafka-cluster--beverage-event-topic--beverage-event--occurred_at​</v>
      </c>
      <c r="O102" s="116"/>
      <c r="P102" s="113" t="s">
        <v>4</v>
      </c>
      <c r="Q102" s="115"/>
    </row>
    <row r="103" spans="1:17" x14ac:dyDescent="0.3">
      <c r="A103" s="79"/>
      <c r="B103">
        <v>102</v>
      </c>
      <c r="C103" s="113" t="s">
        <v>287</v>
      </c>
      <c r="D103" s="114" t="s">
        <v>434</v>
      </c>
      <c r="E103" s="113" t="s">
        <v>481</v>
      </c>
      <c r="F103" s="115" t="str">
        <f t="shared" si="20"/>
        <v>kafka-cluster</v>
      </c>
      <c r="G103" s="113" t="s">
        <v>483</v>
      </c>
      <c r="H103" s="115" t="str">
        <f t="shared" si="21"/>
        <v>beverage-event-topic</v>
      </c>
      <c r="I103" s="116" t="s">
        <v>484</v>
      </c>
      <c r="J103" s="115" t="str">
        <f t="shared" si="22"/>
        <v>beverage-event</v>
      </c>
      <c r="K103" s="33" t="str">
        <f>Table4[[#This Row],[Intermediate Qualified System Name]]&amp;"--"&amp;Table4[[#This Row],[Collection Intermediate Qualified Name]]&amp;"--"&amp;Table4[[#This Row],[Dataset Intermediate Qualified Name]]</f>
        <v>kafka-cluster--beverage-event-topic--beverage-event</v>
      </c>
      <c r="L103" s="113" t="s">
        <v>466</v>
      </c>
      <c r="M103" s="115" t="str">
        <f t="shared" si="23"/>
        <v>machine_id</v>
      </c>
      <c r="N103" s="33" t="str">
        <f>Table4[[#This Row],[Intermediate Qualified System Name]]&amp;"--"&amp;Table4[[#This Row],[Collection Intermediate Qualified Name]]&amp;"--"&amp;Table4[[#This Row],[Dataset Intermediate Qualified Name]]&amp;"--"&amp;Table4[[#This Row],[Field Intermediate Qualified Name]]</f>
        <v>kafka-cluster--beverage-event-topic--beverage-event--machine_id</v>
      </c>
      <c r="O103" s="116"/>
      <c r="P103" s="113" t="s">
        <v>167</v>
      </c>
      <c r="Q103" s="115"/>
    </row>
    <row r="104" spans="1:17" x14ac:dyDescent="0.3">
      <c r="A104" s="79"/>
      <c r="B104">
        <v>103</v>
      </c>
      <c r="C104" s="113" t="s">
        <v>289</v>
      </c>
      <c r="D104" s="114" t="s">
        <v>439</v>
      </c>
      <c r="E104" s="113" t="s">
        <v>481</v>
      </c>
      <c r="F104" s="115" t="str">
        <f t="shared" si="20"/>
        <v>kafka-cluster</v>
      </c>
      <c r="G104" s="113" t="s">
        <v>483</v>
      </c>
      <c r="H104" s="115" t="str">
        <f t="shared" si="21"/>
        <v>beverage-event-topic</v>
      </c>
      <c r="I104" s="116" t="s">
        <v>484</v>
      </c>
      <c r="J104" s="115" t="str">
        <f t="shared" si="22"/>
        <v>beverage-event</v>
      </c>
      <c r="K104" s="33" t="str">
        <f>Table4[[#This Row],[Intermediate Qualified System Name]]&amp;"--"&amp;Table4[[#This Row],[Collection Intermediate Qualified Name]]&amp;"--"&amp;Table4[[#This Row],[Dataset Intermediate Qualified Name]]</f>
        <v>kafka-cluster--beverage-event-topic--beverage-event</v>
      </c>
      <c r="L104" s="113" t="s">
        <v>465</v>
      </c>
      <c r="M104" s="115" t="str">
        <f t="shared" si="23"/>
        <v>distributor_id</v>
      </c>
      <c r="N104" s="33" t="str">
        <f>Table4[[#This Row],[Intermediate Qualified System Name]]&amp;"--"&amp;Table4[[#This Row],[Collection Intermediate Qualified Name]]&amp;"--"&amp;Table4[[#This Row],[Dataset Intermediate Qualified Name]]&amp;"--"&amp;Table4[[#This Row],[Field Intermediate Qualified Name]]</f>
        <v>kafka-cluster--beverage-event-topic--beverage-event--distributor_id</v>
      </c>
      <c r="O104" s="116"/>
      <c r="P104" s="113" t="s">
        <v>167</v>
      </c>
      <c r="Q104" s="115"/>
    </row>
    <row r="105" spans="1:17" x14ac:dyDescent="0.3">
      <c r="B105">
        <v>104</v>
      </c>
      <c r="C105" s="113" t="s">
        <v>165</v>
      </c>
      <c r="D105" s="114" t="s">
        <v>325</v>
      </c>
      <c r="E105" s="113" t="s">
        <v>481</v>
      </c>
      <c r="F105" s="115" t="str">
        <f t="shared" si="20"/>
        <v>kafka-cluster</v>
      </c>
      <c r="G105" s="113" t="s">
        <v>483</v>
      </c>
      <c r="H105" s="115" t="str">
        <f t="shared" si="21"/>
        <v>beverage-event-topic</v>
      </c>
      <c r="I105" s="116" t="s">
        <v>484</v>
      </c>
      <c r="J105" s="115" t="str">
        <f t="shared" si="22"/>
        <v>beverage-event</v>
      </c>
      <c r="K105" s="33" t="str">
        <f>Table4[[#This Row],[Intermediate Qualified System Name]]&amp;"--"&amp;Table4[[#This Row],[Collection Intermediate Qualified Name]]&amp;"--"&amp;Table4[[#This Row],[Dataset Intermediate Qualified Name]]</f>
        <v>kafka-cluster--beverage-event-topic--beverage-event</v>
      </c>
      <c r="L105" s="113" t="s">
        <v>441</v>
      </c>
      <c r="M105" s="115" t="str">
        <f t="shared" si="23"/>
        <v>order_beverage​</v>
      </c>
      <c r="N105" s="33" t="str">
        <f>Table4[[#This Row],[Intermediate Qualified System Name]]&amp;"--"&amp;Table4[[#This Row],[Collection Intermediate Qualified Name]]&amp;"--"&amp;Table4[[#This Row],[Dataset Intermediate Qualified Name]]&amp;"--"&amp;Table4[[#This Row],[Field Intermediate Qualified Name]]</f>
        <v>kafka-cluster--beverage-event-topic--beverage-event--order_beverage​</v>
      </c>
      <c r="O105" s="116"/>
      <c r="P105" s="117" t="s">
        <v>167</v>
      </c>
      <c r="Q105" s="115"/>
    </row>
    <row r="106" spans="1:17" x14ac:dyDescent="0.3">
      <c r="B106">
        <v>105</v>
      </c>
      <c r="C106" s="113" t="s">
        <v>168</v>
      </c>
      <c r="D106" s="114" t="s">
        <v>329</v>
      </c>
      <c r="E106" s="113" t="s">
        <v>481</v>
      </c>
      <c r="F106" s="115" t="str">
        <f t="shared" si="20"/>
        <v>kafka-cluster</v>
      </c>
      <c r="G106" s="113" t="s">
        <v>483</v>
      </c>
      <c r="H106" s="115" t="str">
        <f t="shared" si="21"/>
        <v>beverage-event-topic</v>
      </c>
      <c r="I106" s="116" t="s">
        <v>484</v>
      </c>
      <c r="J106" s="115" t="str">
        <f t="shared" si="22"/>
        <v>beverage-event</v>
      </c>
      <c r="K106" s="33" t="str">
        <f>Table4[[#This Row],[Intermediate Qualified System Name]]&amp;"--"&amp;Table4[[#This Row],[Collection Intermediate Qualified Name]]&amp;"--"&amp;Table4[[#This Row],[Dataset Intermediate Qualified Name]]</f>
        <v>kafka-cluster--beverage-event-topic--beverage-event</v>
      </c>
      <c r="L106" s="113" t="s">
        <v>442</v>
      </c>
      <c r="M106" s="115" t="str">
        <f t="shared" si="23"/>
        <v>order_volume​</v>
      </c>
      <c r="N106" s="33" t="str">
        <f>Table4[[#This Row],[Intermediate Qualified System Name]]&amp;"--"&amp;Table4[[#This Row],[Collection Intermediate Qualified Name]]&amp;"--"&amp;Table4[[#This Row],[Dataset Intermediate Qualified Name]]&amp;"--"&amp;Table4[[#This Row],[Field Intermediate Qualified Name]]</f>
        <v>kafka-cluster--beverage-event-topic--beverage-event--order_volume​</v>
      </c>
      <c r="O106" s="116"/>
      <c r="P106" s="113" t="s">
        <v>167</v>
      </c>
      <c r="Q106" s="115"/>
    </row>
    <row r="107" spans="1:17" x14ac:dyDescent="0.3">
      <c r="B107">
        <v>106</v>
      </c>
      <c r="C107" s="113" t="s">
        <v>171</v>
      </c>
      <c r="D107" s="114" t="s">
        <v>330</v>
      </c>
      <c r="E107" s="113" t="s">
        <v>481</v>
      </c>
      <c r="F107" s="115" t="str">
        <f t="shared" si="20"/>
        <v>kafka-cluster</v>
      </c>
      <c r="G107" s="113" t="s">
        <v>483</v>
      </c>
      <c r="H107" s="115" t="str">
        <f t="shared" si="21"/>
        <v>beverage-event-topic</v>
      </c>
      <c r="I107" s="116" t="s">
        <v>484</v>
      </c>
      <c r="J107" s="115" t="str">
        <f t="shared" si="22"/>
        <v>beverage-event</v>
      </c>
      <c r="K107" s="33" t="str">
        <f>Table4[[#This Row],[Intermediate Qualified System Name]]&amp;"--"&amp;Table4[[#This Row],[Collection Intermediate Qualified Name]]&amp;"--"&amp;Table4[[#This Row],[Dataset Intermediate Qualified Name]]</f>
        <v>kafka-cluster--beverage-event-topic--beverage-event</v>
      </c>
      <c r="L107" s="113" t="s">
        <v>443</v>
      </c>
      <c r="M107" s="115" t="str">
        <f t="shared" si="23"/>
        <v>order_ml​</v>
      </c>
      <c r="N107" s="33" t="str">
        <f>Table4[[#This Row],[Intermediate Qualified System Name]]&amp;"--"&amp;Table4[[#This Row],[Collection Intermediate Qualified Name]]&amp;"--"&amp;Table4[[#This Row],[Dataset Intermediate Qualified Name]]&amp;"--"&amp;Table4[[#This Row],[Field Intermediate Qualified Name]]</f>
        <v>kafka-cluster--beverage-event-topic--beverage-event--order_ml​</v>
      </c>
      <c r="O107" s="116"/>
      <c r="P107" s="113" t="s">
        <v>173</v>
      </c>
      <c r="Q107" s="115"/>
    </row>
    <row r="108" spans="1:17" x14ac:dyDescent="0.3">
      <c r="B108">
        <v>107</v>
      </c>
      <c r="C108" s="113" t="s">
        <v>174</v>
      </c>
      <c r="D108" s="114" t="s">
        <v>331</v>
      </c>
      <c r="E108" s="113" t="s">
        <v>481</v>
      </c>
      <c r="F108" s="115" t="str">
        <f t="shared" si="20"/>
        <v>kafka-cluster</v>
      </c>
      <c r="G108" s="113" t="s">
        <v>483</v>
      </c>
      <c r="H108" s="115" t="str">
        <f t="shared" si="21"/>
        <v>beverage-event-topic</v>
      </c>
      <c r="I108" s="116" t="s">
        <v>484</v>
      </c>
      <c r="J108" s="115" t="str">
        <f t="shared" si="22"/>
        <v>beverage-event</v>
      </c>
      <c r="K108" s="33" t="str">
        <f>Table4[[#This Row],[Intermediate Qualified System Name]]&amp;"--"&amp;Table4[[#This Row],[Collection Intermediate Qualified Name]]&amp;"--"&amp;Table4[[#This Row],[Dataset Intermediate Qualified Name]]</f>
        <v>kafka-cluster--beverage-event-topic--beverage-event</v>
      </c>
      <c r="L108" s="113" t="s">
        <v>444</v>
      </c>
      <c r="M108" s="115" t="str">
        <f t="shared" si="23"/>
        <v>order_strength​</v>
      </c>
      <c r="N108" s="33" t="str">
        <f>Table4[[#This Row],[Intermediate Qualified System Name]]&amp;"--"&amp;Table4[[#This Row],[Collection Intermediate Qualified Name]]&amp;"--"&amp;Table4[[#This Row],[Dataset Intermediate Qualified Name]]&amp;"--"&amp;Table4[[#This Row],[Field Intermediate Qualified Name]]</f>
        <v>kafka-cluster--beverage-event-topic--beverage-event--order_strength​</v>
      </c>
      <c r="O108" s="116"/>
      <c r="P108" s="113" t="s">
        <v>173</v>
      </c>
      <c r="Q108" s="115"/>
    </row>
    <row r="109" spans="1:17" x14ac:dyDescent="0.3">
      <c r="B109">
        <v>108</v>
      </c>
      <c r="C109" s="113" t="s">
        <v>176</v>
      </c>
      <c r="D109" s="114" t="s">
        <v>332</v>
      </c>
      <c r="E109" s="113" t="s">
        <v>481</v>
      </c>
      <c r="F109" s="115" t="str">
        <f t="shared" si="20"/>
        <v>kafka-cluster</v>
      </c>
      <c r="G109" s="113" t="s">
        <v>483</v>
      </c>
      <c r="H109" s="115" t="str">
        <f t="shared" si="21"/>
        <v>beverage-event-topic</v>
      </c>
      <c r="I109" s="116" t="s">
        <v>484</v>
      </c>
      <c r="J109" s="115" t="str">
        <f t="shared" si="22"/>
        <v>beverage-event</v>
      </c>
      <c r="K109" s="33" t="str">
        <f>Table4[[#This Row],[Intermediate Qualified System Name]]&amp;"--"&amp;Table4[[#This Row],[Collection Intermediate Qualified Name]]&amp;"--"&amp;Table4[[#This Row],[Dataset Intermediate Qualified Name]]</f>
        <v>kafka-cluster--beverage-event-topic--beverage-event</v>
      </c>
      <c r="L109" s="113" t="s">
        <v>445</v>
      </c>
      <c r="M109" s="115" t="str">
        <f t="shared" si="23"/>
        <v>order_etc​</v>
      </c>
      <c r="N109" s="33" t="str">
        <f>Table4[[#This Row],[Intermediate Qualified System Name]]&amp;"--"&amp;Table4[[#This Row],[Collection Intermediate Qualified Name]]&amp;"--"&amp;Table4[[#This Row],[Dataset Intermediate Qualified Name]]&amp;"--"&amp;Table4[[#This Row],[Field Intermediate Qualified Name]]</f>
        <v>kafka-cluster--beverage-event-topic--beverage-event--order_etc​</v>
      </c>
      <c r="O109" s="116"/>
      <c r="P109" s="113" t="s">
        <v>173</v>
      </c>
      <c r="Q109" s="115"/>
    </row>
    <row r="110" spans="1:17" x14ac:dyDescent="0.3">
      <c r="B110"/>
      <c r="D110"/>
      <c r="G110"/>
      <c r="L110"/>
      <c r="M110" s="33"/>
      <c r="N110" s="33"/>
    </row>
    <row r="111" spans="1:17" x14ac:dyDescent="0.3">
      <c r="B111"/>
      <c r="D111"/>
      <c r="G111"/>
      <c r="L111"/>
      <c r="M111" s="33"/>
      <c r="N111" s="33"/>
      <c r="P111"/>
    </row>
    <row r="112" spans="1:17" x14ac:dyDescent="0.3">
      <c r="B112"/>
      <c r="D112"/>
      <c r="G112"/>
      <c r="L112"/>
      <c r="M112" s="33"/>
      <c r="N112" s="33"/>
      <c r="P112"/>
    </row>
    <row r="113" spans="2:16" x14ac:dyDescent="0.3">
      <c r="B113"/>
      <c r="D113"/>
      <c r="G113"/>
      <c r="L113"/>
      <c r="M113" s="33"/>
      <c r="N113" s="33"/>
      <c r="P113"/>
    </row>
    <row r="114" spans="2:16" x14ac:dyDescent="0.3">
      <c r="B114"/>
      <c r="D114"/>
      <c r="G114"/>
      <c r="L114"/>
      <c r="M114" s="33"/>
      <c r="N114" s="33"/>
      <c r="P114"/>
    </row>
    <row r="115" spans="2:16" x14ac:dyDescent="0.3">
      <c r="B115"/>
      <c r="D115"/>
      <c r="G115"/>
      <c r="L115"/>
      <c r="M115" s="33"/>
      <c r="N115" s="33"/>
      <c r="P115"/>
    </row>
    <row r="116" spans="2:16" x14ac:dyDescent="0.3">
      <c r="B116"/>
      <c r="G116"/>
      <c r="M116" s="33"/>
      <c r="N116" s="33"/>
    </row>
    <row r="117" spans="2:16" x14ac:dyDescent="0.3">
      <c r="B117"/>
      <c r="D117"/>
      <c r="L117"/>
      <c r="M117" s="33"/>
      <c r="N117" s="33"/>
      <c r="P117"/>
    </row>
    <row r="118" spans="2:16" x14ac:dyDescent="0.3">
      <c r="B118"/>
      <c r="D118"/>
      <c r="L118"/>
      <c r="M118" s="33"/>
      <c r="N118" s="33"/>
      <c r="P118"/>
    </row>
    <row r="119" spans="2:16" x14ac:dyDescent="0.3">
      <c r="B119"/>
      <c r="D119"/>
      <c r="L119"/>
      <c r="M119" s="33"/>
      <c r="N119" s="33"/>
      <c r="P119"/>
    </row>
    <row r="120" spans="2:16" x14ac:dyDescent="0.3">
      <c r="B120"/>
      <c r="D120"/>
      <c r="L120"/>
      <c r="M120" s="33"/>
      <c r="N120" s="33"/>
      <c r="P120"/>
    </row>
    <row r="121" spans="2:16" x14ac:dyDescent="0.3">
      <c r="B121"/>
      <c r="D121"/>
      <c r="L121"/>
      <c r="M121" s="33"/>
      <c r="N121" s="33"/>
      <c r="P121"/>
    </row>
    <row r="122" spans="2:16" x14ac:dyDescent="0.3">
      <c r="B122"/>
      <c r="M122" s="33"/>
      <c r="N122" s="33"/>
    </row>
    <row r="123" spans="2:16" x14ac:dyDescent="0.3">
      <c r="B123" s="106"/>
      <c r="M123" s="33"/>
      <c r="N123" s="33"/>
    </row>
    <row r="124" spans="2:16" x14ac:dyDescent="0.3">
      <c r="B124" s="106"/>
      <c r="M124" s="33"/>
      <c r="N124" s="33"/>
    </row>
    <row r="125" spans="2:16" x14ac:dyDescent="0.3">
      <c r="B125" s="106"/>
      <c r="M125" s="33"/>
      <c r="N125" s="33"/>
    </row>
    <row r="126" spans="2:16" x14ac:dyDescent="0.3">
      <c r="B126" s="106"/>
      <c r="M126" s="33"/>
      <c r="N126" s="33"/>
    </row>
    <row r="127" spans="2:16" x14ac:dyDescent="0.3">
      <c r="B127" s="106"/>
      <c r="M127" s="33"/>
      <c r="N127" s="33"/>
    </row>
    <row r="128" spans="2:16" x14ac:dyDescent="0.3">
      <c r="B128" s="106"/>
      <c r="M128" s="33"/>
      <c r="N128" s="33"/>
    </row>
    <row r="129" spans="2:14" x14ac:dyDescent="0.3">
      <c r="B129" s="106"/>
      <c r="M129" s="33"/>
      <c r="N129" s="33"/>
    </row>
    <row r="130" spans="2:14" x14ac:dyDescent="0.3">
      <c r="B130" s="106"/>
      <c r="M130" s="33"/>
      <c r="N130" s="33"/>
    </row>
    <row r="131" spans="2:14" x14ac:dyDescent="0.3">
      <c r="B131" s="106"/>
      <c r="M131" s="33"/>
      <c r="N131" s="33"/>
    </row>
    <row r="132" spans="2:14" x14ac:dyDescent="0.3">
      <c r="B132" s="106"/>
      <c r="M132" s="33"/>
      <c r="N132" s="33"/>
    </row>
    <row r="133" spans="2:14" x14ac:dyDescent="0.3">
      <c r="B133" s="106"/>
      <c r="M133" s="33"/>
      <c r="N133" s="33"/>
    </row>
    <row r="134" spans="2:14" x14ac:dyDescent="0.3">
      <c r="B134" s="106"/>
      <c r="M134" s="33"/>
      <c r="N134" s="33"/>
    </row>
    <row r="135" spans="2:14" x14ac:dyDescent="0.3">
      <c r="B135" s="106"/>
      <c r="M135" s="33"/>
      <c r="N135" s="33"/>
    </row>
    <row r="136" spans="2:14" x14ac:dyDescent="0.3">
      <c r="B136" s="107"/>
      <c r="M136" s="33"/>
      <c r="N136" s="33"/>
    </row>
  </sheetData>
  <phoneticPr fontId="3" type="noConversion"/>
  <dataValidations count="2">
    <dataValidation type="list" allowBlank="1" showInputMessage="1" showErrorMessage="1" sqref="Q2:Q136" xr:uid="{936963CD-63A4-4152-9549-F7D0C1F3BC82}">
      <formula1>"Yes,No"</formula1>
    </dataValidation>
    <dataValidation type="list" allowBlank="1" showInputMessage="1" showErrorMessage="1" sqref="P90:P109" xr:uid="{DA5AA9CF-1057-4CE5-A6D0-4264E4995883}">
      <formula1>"Numeric, Text, Date"</formula1>
    </dataValidation>
  </dataValidations>
  <pageMargins left="0.7" right="0.7" top="0.75" bottom="0.75" header="0.3" footer="0.3"/>
  <pageSetup orientation="portrait" r:id="rId1"/>
  <ignoredErrors>
    <ignoredError sqref="D1:E1 G1" listDataValidation="1"/>
  </ignoredErrors>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DF914F2D-4191-4DDC-82E7-E0C963C089E1}">
          <x14:formula1>
            <xm:f>'7. Define sys, collect. &amp; datas'!$B$2:$B$27</xm:f>
          </x14:formula1>
          <xm:sqref>E1:E1048576</xm:sqref>
        </x14:dataValidation>
        <x14:dataValidation type="list" allowBlank="1" showInputMessage="1" showErrorMessage="1" xr:uid="{B6530041-7F4D-4372-9776-451C4FDE59D3}">
          <x14:formula1>
            <xm:f>'3. L3 Data Attributes'!$E$2:$E$72</xm:f>
          </x14:formula1>
          <xm:sqref>C2:C109</xm:sqref>
        </x14:dataValidation>
        <x14:dataValidation type="list" allowBlank="1" showInputMessage="1" showErrorMessage="1" xr:uid="{A01F970F-F7E0-4CF5-BAAF-991808F2C23A}">
          <x14:formula1>
            <xm:f>'3. L3 Data Attributes'!$H$2:$H$72</xm:f>
          </x14:formula1>
          <xm:sqref>D1:D1048576</xm:sqref>
        </x14:dataValidation>
        <x14:dataValidation type="list" allowBlank="1" showInputMessage="1" showErrorMessage="1" xr:uid="{41F10049-E8FC-44AE-A1F4-90792A57FAB4}">
          <x14:formula1>
            <xm:f>'7. Define sys, collect. &amp; datas'!$C$2:$C$27</xm:f>
          </x14:formula1>
          <xm:sqref>G1:G1048576</xm:sqref>
        </x14:dataValidation>
        <x14:dataValidation type="list" allowBlank="1" showInputMessage="1" showErrorMessage="1" xr:uid="{09A75CE1-9984-4D26-90E8-B3AEF0E0E6EE}">
          <x14:formula1>
            <xm:f>'7. Define sys, collect. &amp; datas'!$D$2:$D$27</xm:f>
          </x14:formula1>
          <xm:sqref>I1:I1048576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3"/>
  <sheetViews>
    <sheetView zoomScaleNormal="100" workbookViewId="0">
      <selection activeCell="A3" sqref="A3"/>
    </sheetView>
  </sheetViews>
  <sheetFormatPr defaultRowHeight="14.4" x14ac:dyDescent="0.3"/>
  <cols>
    <col min="1" max="1" width="7.109375" bestFit="1" customWidth="1"/>
    <col min="3" max="3" width="10" bestFit="1" customWidth="1"/>
    <col min="4" max="4" width="24.44140625" bestFit="1" customWidth="1"/>
    <col min="5" max="5" width="43.6640625" style="72" bestFit="1" customWidth="1"/>
    <col min="6" max="6" width="32.33203125" style="72" bestFit="1" customWidth="1"/>
  </cols>
  <sheetData>
    <row r="1" spans="1:7" x14ac:dyDescent="0.3">
      <c r="A1" t="s">
        <v>15</v>
      </c>
      <c r="B1" t="s">
        <v>76</v>
      </c>
      <c r="C1" t="s">
        <v>87</v>
      </c>
      <c r="D1" t="s">
        <v>89</v>
      </c>
      <c r="E1" t="s">
        <v>486</v>
      </c>
      <c r="F1" t="s">
        <v>91</v>
      </c>
      <c r="G1" t="s">
        <v>23</v>
      </c>
    </row>
    <row r="2" spans="1:7" x14ac:dyDescent="0.3">
      <c r="A2">
        <v>1</v>
      </c>
    </row>
    <row r="3" spans="1:7" x14ac:dyDescent="0.3">
      <c r="A3">
        <v>2</v>
      </c>
    </row>
  </sheetData>
  <phoneticPr fontId="3" type="noConversion"/>
  <conditionalFormatting sqref="C2:C1048576">
    <cfRule type="expression" dxfId="67" priority="1">
      <formula>#REF!="No"</formula>
    </cfRule>
  </conditionalFormatting>
  <conditionalFormatting sqref="C2:G1048576">
    <cfRule type="expression" dxfId="66"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7"/>
  <sheetViews>
    <sheetView zoomScaleNormal="100" workbookViewId="0">
      <selection activeCell="C2" sqref="C2"/>
    </sheetView>
  </sheetViews>
  <sheetFormatPr defaultRowHeight="14.4" x14ac:dyDescent="0.3"/>
  <cols>
    <col min="2" max="2" width="32.33203125" bestFit="1" customWidth="1"/>
    <col min="3" max="3" width="43.88671875" bestFit="1" customWidth="1"/>
    <col min="4" max="4" width="63.33203125" bestFit="1" customWidth="1"/>
  </cols>
  <sheetData>
    <row r="1" spans="2:4" x14ac:dyDescent="0.3">
      <c r="B1" t="s">
        <v>487</v>
      </c>
      <c r="C1" t="s">
        <v>488</v>
      </c>
      <c r="D1" t="s">
        <v>489</v>
      </c>
    </row>
    <row r="2" spans="2:4" x14ac:dyDescent="0.3">
      <c r="B2" s="121" t="s">
        <v>326</v>
      </c>
      <c r="C2" s="121" t="s">
        <v>508</v>
      </c>
      <c r="D2" s="121" t="s">
        <v>327</v>
      </c>
    </row>
    <row r="3" spans="2:4" x14ac:dyDescent="0.3">
      <c r="B3" s="122" t="s">
        <v>326</v>
      </c>
      <c r="C3" s="121" t="s">
        <v>509</v>
      </c>
      <c r="D3" s="121" t="s">
        <v>336</v>
      </c>
    </row>
    <row r="4" spans="2:4" x14ac:dyDescent="0.3">
      <c r="B4" s="121" t="s">
        <v>326</v>
      </c>
      <c r="C4" s="121" t="s">
        <v>510</v>
      </c>
      <c r="D4" s="121" t="s">
        <v>345</v>
      </c>
    </row>
    <row r="5" spans="2:4" x14ac:dyDescent="0.3">
      <c r="B5" s="121" t="s">
        <v>326</v>
      </c>
      <c r="C5" s="121" t="s">
        <v>511</v>
      </c>
      <c r="D5" s="121" t="s">
        <v>355</v>
      </c>
    </row>
    <row r="6" spans="2:4" x14ac:dyDescent="0.3">
      <c r="B6" s="121" t="s">
        <v>326</v>
      </c>
      <c r="C6" s="121" t="s">
        <v>512</v>
      </c>
      <c r="D6" s="121" t="s">
        <v>359</v>
      </c>
    </row>
    <row r="7" spans="2:4" x14ac:dyDescent="0.3">
      <c r="B7" s="121" t="s">
        <v>326</v>
      </c>
      <c r="C7" s="121" t="s">
        <v>513</v>
      </c>
      <c r="D7" s="121" t="s">
        <v>372</v>
      </c>
    </row>
    <row r="8" spans="2:4" x14ac:dyDescent="0.3">
      <c r="B8" s="121" t="s">
        <v>326</v>
      </c>
      <c r="C8" s="121" t="s">
        <v>514</v>
      </c>
      <c r="D8" s="121" t="s">
        <v>382</v>
      </c>
    </row>
    <row r="9" spans="2:4" x14ac:dyDescent="0.3">
      <c r="B9" s="121" t="s">
        <v>326</v>
      </c>
      <c r="C9" s="121" t="s">
        <v>515</v>
      </c>
      <c r="D9" s="121" t="s">
        <v>384</v>
      </c>
    </row>
    <row r="10" spans="2:4" x14ac:dyDescent="0.3">
      <c r="B10" s="121" t="s">
        <v>326</v>
      </c>
      <c r="C10" s="121" t="s">
        <v>516</v>
      </c>
      <c r="D10" s="121" t="s">
        <v>386</v>
      </c>
    </row>
    <row r="11" spans="2:4" x14ac:dyDescent="0.3">
      <c r="B11" s="121" t="s">
        <v>391</v>
      </c>
      <c r="C11" s="121" t="s">
        <v>408</v>
      </c>
      <c r="D11" s="121" t="s">
        <v>393</v>
      </c>
    </row>
    <row r="12" spans="2:4" x14ac:dyDescent="0.3">
      <c r="B12" s="121" t="s">
        <v>391</v>
      </c>
      <c r="C12" s="121" t="s">
        <v>408</v>
      </c>
      <c r="D12" s="121" t="s">
        <v>394</v>
      </c>
    </row>
    <row r="13" spans="2:4" x14ac:dyDescent="0.3">
      <c r="B13" s="121" t="s">
        <v>391</v>
      </c>
      <c r="C13" s="121" t="s">
        <v>408</v>
      </c>
      <c r="D13" s="121" t="s">
        <v>396</v>
      </c>
    </row>
    <row r="14" spans="2:4" x14ac:dyDescent="0.3">
      <c r="B14" s="121" t="s">
        <v>391</v>
      </c>
      <c r="C14" s="121" t="s">
        <v>408</v>
      </c>
      <c r="D14" s="121" t="s">
        <v>401</v>
      </c>
    </row>
    <row r="15" spans="2:4" x14ac:dyDescent="0.3">
      <c r="B15" s="121" t="s">
        <v>391</v>
      </c>
      <c r="C15" s="121" t="s">
        <v>404</v>
      </c>
      <c r="D15" s="121" t="s">
        <v>405</v>
      </c>
    </row>
    <row r="16" spans="2:4" x14ac:dyDescent="0.3">
      <c r="B16" s="121" t="s">
        <v>391</v>
      </c>
      <c r="C16" s="121" t="s">
        <v>408</v>
      </c>
      <c r="D16" s="121" t="s">
        <v>409</v>
      </c>
    </row>
    <row r="17" spans="2:4" x14ac:dyDescent="0.3">
      <c r="B17" s="121" t="s">
        <v>391</v>
      </c>
      <c r="C17" s="121" t="s">
        <v>408</v>
      </c>
      <c r="D17" s="121" t="s">
        <v>412</v>
      </c>
    </row>
    <row r="18" spans="2:4" x14ac:dyDescent="0.3">
      <c r="B18" s="121" t="s">
        <v>326</v>
      </c>
      <c r="C18" s="121" t="s">
        <v>517</v>
      </c>
      <c r="D18" s="121" t="s">
        <v>412</v>
      </c>
    </row>
    <row r="19" spans="2:4" x14ac:dyDescent="0.3">
      <c r="B19" s="121" t="s">
        <v>391</v>
      </c>
      <c r="C19" s="121" t="s">
        <v>408</v>
      </c>
      <c r="D19" s="123" t="s">
        <v>416</v>
      </c>
    </row>
    <row r="20" spans="2:4" x14ac:dyDescent="0.3">
      <c r="B20" s="121" t="s">
        <v>391</v>
      </c>
      <c r="C20" s="121" t="s">
        <v>408</v>
      </c>
      <c r="D20" s="121" t="s">
        <v>419</v>
      </c>
    </row>
    <row r="21" spans="2:4" x14ac:dyDescent="0.3">
      <c r="B21" s="121" t="s">
        <v>391</v>
      </c>
      <c r="C21" s="121" t="s">
        <v>404</v>
      </c>
      <c r="D21" t="s">
        <v>405</v>
      </c>
    </row>
    <row r="22" spans="2:4" x14ac:dyDescent="0.3">
      <c r="B22" s="121" t="s">
        <v>391</v>
      </c>
      <c r="C22" s="121" t="s">
        <v>408</v>
      </c>
      <c r="D22" s="121" t="s">
        <v>425</v>
      </c>
    </row>
    <row r="23" spans="2:4" x14ac:dyDescent="0.3">
      <c r="B23" s="121" t="s">
        <v>435</v>
      </c>
      <c r="C23" s="121" t="s">
        <v>436</v>
      </c>
      <c r="D23" s="121" t="s">
        <v>437</v>
      </c>
    </row>
    <row r="24" spans="2:4" x14ac:dyDescent="0.3">
      <c r="B24" s="121" t="s">
        <v>391</v>
      </c>
      <c r="C24" s="121" t="s">
        <v>408</v>
      </c>
      <c r="D24" s="121" t="s">
        <v>453</v>
      </c>
    </row>
    <row r="25" spans="2:4" x14ac:dyDescent="0.3">
      <c r="B25" s="121" t="s">
        <v>391</v>
      </c>
      <c r="C25" s="121" t="s">
        <v>408</v>
      </c>
      <c r="D25" s="121" t="s">
        <v>461</v>
      </c>
    </row>
    <row r="26" spans="2:4" x14ac:dyDescent="0.3">
      <c r="B26" s="121" t="s">
        <v>481</v>
      </c>
      <c r="C26" s="121" t="s">
        <v>482</v>
      </c>
      <c r="D26" s="121" t="s">
        <v>461</v>
      </c>
    </row>
    <row r="27" spans="2:4" x14ac:dyDescent="0.3">
      <c r="B27" s="121" t="s">
        <v>481</v>
      </c>
      <c r="C27" s="121" t="s">
        <v>483</v>
      </c>
      <c r="D27" s="121" t="s">
        <v>484</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topLeftCell="A13" zoomScale="63" zoomScaleNormal="50" workbookViewId="0">
      <selection activeCell="F21" sqref="F21"/>
    </sheetView>
  </sheetViews>
  <sheetFormatPr defaultColWidth="8.6640625" defaultRowHeight="14.4" x14ac:dyDescent="0.3"/>
  <cols>
    <col min="2" max="4" width="8.88671875"/>
    <col min="5" max="5" width="21.5546875" style="65" customWidth="1"/>
    <col min="6" max="6" width="82.33203125" style="77" customWidth="1"/>
    <col min="7" max="7" width="22.5546875" style="77" customWidth="1"/>
    <col min="8" max="8" width="15.33203125" style="73" customWidth="1"/>
    <col min="9" max="9" width="44.5546875" style="78" bestFit="1" customWidth="1"/>
    <col min="10" max="10" width="7.6640625" style="73" customWidth="1"/>
    <col min="11" max="11" width="8.88671875"/>
    <col min="12" max="12" width="9.33203125" style="31"/>
  </cols>
  <sheetData>
    <row r="1" spans="2:11" x14ac:dyDescent="0.3">
      <c r="B1" t="s">
        <v>15</v>
      </c>
      <c r="C1" t="s">
        <v>76</v>
      </c>
      <c r="D1" t="s">
        <v>490</v>
      </c>
      <c r="E1" t="s">
        <v>98</v>
      </c>
      <c r="F1" t="s">
        <v>100</v>
      </c>
      <c r="G1" t="s">
        <v>102</v>
      </c>
      <c r="H1" t="s">
        <v>104</v>
      </c>
      <c r="I1" t="s">
        <v>106</v>
      </c>
      <c r="J1" t="s">
        <v>108</v>
      </c>
      <c r="K1" t="s">
        <v>110</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C2" sqref="B2:D11"/>
    </sheetView>
  </sheetViews>
  <sheetFormatPr defaultRowHeight="14.4" x14ac:dyDescent="0.3"/>
  <cols>
    <col min="2" max="2" width="9.6640625" customWidth="1"/>
    <col min="3" max="3" width="32.6640625" bestFit="1" customWidth="1"/>
    <col min="4" max="4" width="37.6640625" bestFit="1" customWidth="1"/>
  </cols>
  <sheetData>
    <row r="1" spans="2:4" x14ac:dyDescent="0.3">
      <c r="B1" t="s">
        <v>15</v>
      </c>
      <c r="C1" t="s">
        <v>114</v>
      </c>
      <c r="D1" t="s">
        <v>116</v>
      </c>
    </row>
    <row r="2" spans="2:4" x14ac:dyDescent="0.3">
      <c r="D2" s="88"/>
    </row>
    <row r="3" spans="2:4" x14ac:dyDescent="0.3">
      <c r="D3" s="88"/>
    </row>
    <row r="4" spans="2:4" x14ac:dyDescent="0.3">
      <c r="D4" s="88"/>
    </row>
    <row r="5" spans="2:4" x14ac:dyDescent="0.3">
      <c r="D5" s="88"/>
    </row>
    <row r="6" spans="2:4" x14ac:dyDescent="0.3">
      <c r="D6" s="88"/>
    </row>
    <row r="7" spans="2:4" x14ac:dyDescent="0.3">
      <c r="D7" s="88"/>
    </row>
    <row r="8" spans="2:4" x14ac:dyDescent="0.3">
      <c r="D8" s="88"/>
    </row>
    <row r="9" spans="2:4" x14ac:dyDescent="0.3">
      <c r="D9" s="88"/>
    </row>
    <row r="10" spans="2:4" x14ac:dyDescent="0.3">
      <c r="D10" s="88"/>
    </row>
    <row r="11" spans="2:4" x14ac:dyDescent="0.3">
      <c r="D11" s="88"/>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96" zoomScaleNormal="96" workbookViewId="0">
      <selection activeCell="F3" sqref="F3"/>
    </sheetView>
  </sheetViews>
  <sheetFormatPr defaultRowHeight="14.4" x14ac:dyDescent="0.3"/>
  <cols>
    <col min="3" max="3" width="55" bestFit="1" customWidth="1"/>
    <col min="6" max="6" width="65.6640625" bestFit="1" customWidth="1"/>
    <col min="9" max="9" width="93" bestFit="1" customWidth="1"/>
    <col min="12" max="12" width="41.5546875" bestFit="1" customWidth="1"/>
  </cols>
  <sheetData>
    <row r="1" spans="2:12" x14ac:dyDescent="0.3">
      <c r="B1" t="s">
        <v>15</v>
      </c>
      <c r="C1" t="s">
        <v>491</v>
      </c>
      <c r="E1" t="s">
        <v>15</v>
      </c>
      <c r="F1" t="s">
        <v>492</v>
      </c>
      <c r="H1" t="s">
        <v>15</v>
      </c>
      <c r="I1" t="s">
        <v>493</v>
      </c>
      <c r="K1" t="s">
        <v>15</v>
      </c>
      <c r="L1" t="s">
        <v>494</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M55" sqref="M55"/>
    </sheetView>
  </sheetViews>
  <sheetFormatPr defaultRowHeight="14.4" x14ac:dyDescent="0.3"/>
  <cols>
    <col min="2" max="2" width="37.88671875" bestFit="1" customWidth="1"/>
    <col min="3" max="3" width="109.6640625" style="63" customWidth="1"/>
    <col min="7" max="7" width="29.33203125" bestFit="1" customWidth="1"/>
  </cols>
  <sheetData>
    <row r="2" spans="2:3" x14ac:dyDescent="0.3">
      <c r="B2" s="68" t="s">
        <v>74</v>
      </c>
      <c r="C2" s="71" t="s">
        <v>13</v>
      </c>
    </row>
    <row r="3" spans="2:3" x14ac:dyDescent="0.3">
      <c r="B3" s="66"/>
      <c r="C3" s="69"/>
    </row>
    <row r="4" spans="2:3" x14ac:dyDescent="0.3">
      <c r="B4" s="66"/>
      <c r="C4" s="69"/>
    </row>
    <row r="5" spans="2:3" x14ac:dyDescent="0.3">
      <c r="B5" s="66"/>
      <c r="C5" s="69"/>
    </row>
    <row r="6" spans="2:3" x14ac:dyDescent="0.3">
      <c r="B6" s="66"/>
      <c r="C6" s="70"/>
    </row>
    <row r="7" spans="2:3" x14ac:dyDescent="0.3">
      <c r="B7" s="66"/>
      <c r="C7" s="69"/>
    </row>
    <row r="8" spans="2:3" x14ac:dyDescent="0.3">
      <c r="B8" s="66"/>
    </row>
    <row r="9" spans="2:3" x14ac:dyDescent="0.3">
      <c r="B9" s="66"/>
    </row>
    <row r="10" spans="2:3" x14ac:dyDescent="0.3">
      <c r="B10" s="67"/>
    </row>
    <row r="11" spans="2:3" x14ac:dyDescent="0.3">
      <c r="B11" s="66"/>
      <c r="C11" s="69"/>
    </row>
    <row r="12" spans="2:3" x14ac:dyDescent="0.3">
      <c r="B12" s="66"/>
      <c r="C12"/>
    </row>
    <row r="13" spans="2:3" x14ac:dyDescent="0.3">
      <c r="B13" s="66"/>
      <c r="C13"/>
    </row>
    <row r="14" spans="2:3" x14ac:dyDescent="0.3">
      <c r="B14" s="66"/>
      <c r="C14"/>
    </row>
    <row r="15" spans="2:3" x14ac:dyDescent="0.3">
      <c r="B15" s="66"/>
      <c r="C15" s="69"/>
    </row>
    <row r="16" spans="2:3" x14ac:dyDescent="0.3">
      <c r="B16" s="66"/>
      <c r="C16"/>
    </row>
    <row r="17" spans="2:3" x14ac:dyDescent="0.3">
      <c r="B17" s="66"/>
    </row>
    <row r="18" spans="2:3" x14ac:dyDescent="0.3">
      <c r="B18" s="66"/>
    </row>
    <row r="19" spans="2:3" x14ac:dyDescent="0.3">
      <c r="B19" s="66"/>
      <c r="C19" s="69"/>
    </row>
    <row r="20" spans="2:3" x14ac:dyDescent="0.3">
      <c r="B20" s="66"/>
      <c r="C20"/>
    </row>
    <row r="21" spans="2:3" x14ac:dyDescent="0.3">
      <c r="B21" s="66"/>
      <c r="C21" s="69"/>
    </row>
    <row r="22" spans="2:3" x14ac:dyDescent="0.3">
      <c r="B22" s="66"/>
      <c r="C22" s="70"/>
    </row>
    <row r="23" spans="2:3" x14ac:dyDescent="0.3">
      <c r="B23" s="66"/>
      <c r="C23" s="69"/>
    </row>
    <row r="24" spans="2:3" x14ac:dyDescent="0.3">
      <c r="B24" s="66"/>
      <c r="C24" s="69"/>
    </row>
    <row r="25" spans="2:3" x14ac:dyDescent="0.3">
      <c r="B25" s="66"/>
      <c r="C25" s="70"/>
    </row>
    <row r="26" spans="2:3" x14ac:dyDescent="0.3">
      <c r="B26" s="66"/>
      <c r="C26" s="70"/>
    </row>
    <row r="27" spans="2:3" x14ac:dyDescent="0.3">
      <c r="B27" s="66"/>
      <c r="C27" s="69"/>
    </row>
    <row r="28" spans="2:3" x14ac:dyDescent="0.3">
      <c r="B28" s="66"/>
      <c r="C28" s="69"/>
    </row>
    <row r="29" spans="2:3" x14ac:dyDescent="0.3">
      <c r="B29" s="66"/>
      <c r="C29" s="69"/>
    </row>
    <row r="30" spans="2:3" x14ac:dyDescent="0.3">
      <c r="B30" s="66"/>
      <c r="C30" s="69"/>
    </row>
    <row r="31" spans="2:3" x14ac:dyDescent="0.3">
      <c r="B31" s="66"/>
      <c r="C31" s="69"/>
    </row>
    <row r="32" spans="2:3" x14ac:dyDescent="0.3">
      <c r="B32" s="66"/>
      <c r="C32" s="69"/>
    </row>
    <row r="33" spans="2:3" x14ac:dyDescent="0.3">
      <c r="B33" s="66"/>
      <c r="C33" s="69"/>
    </row>
    <row r="34" spans="2:3" x14ac:dyDescent="0.3">
      <c r="B34" s="66"/>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abSelected="1" topLeftCell="G1" zoomScale="90" zoomScaleNormal="90" workbookViewId="0">
      <selection activeCell="R41" sqref="R41"/>
    </sheetView>
  </sheetViews>
  <sheetFormatPr defaultRowHeight="14.4" x14ac:dyDescent="0.3"/>
  <cols>
    <col min="2" max="2" width="15.33203125" style="31" customWidth="1"/>
    <col min="3" max="3" width="20.88671875" style="31" bestFit="1" customWidth="1"/>
    <col min="4" max="4" width="20.44140625" style="33" customWidth="1"/>
    <col min="5" max="5" width="66.6640625" style="31" customWidth="1"/>
    <col min="6" max="6" width="47.88671875" style="31" bestFit="1" customWidth="1"/>
    <col min="7" max="7" width="76" style="31" bestFit="1" customWidth="1"/>
    <col min="8" max="8" width="60.109375" style="31" bestFit="1" customWidth="1"/>
    <col min="9" max="9" width="17.109375" style="31" customWidth="1"/>
    <col min="10" max="10" width="13.33203125" style="31" customWidth="1"/>
    <col min="11" max="11" width="20.6640625" style="31" customWidth="1"/>
    <col min="12" max="12" width="61.33203125" style="31" bestFit="1" customWidth="1"/>
    <col min="13" max="13" width="84.33203125" style="31" bestFit="1" customWidth="1"/>
    <col min="14" max="15" width="15.109375" style="31" hidden="1" customWidth="1"/>
    <col min="16" max="16" width="29.33203125" style="32" bestFit="1" customWidth="1"/>
    <col min="17" max="17" width="22.33203125" style="31" bestFit="1" customWidth="1"/>
  </cols>
  <sheetData>
    <row r="1" spans="2:17" x14ac:dyDescent="0.3">
      <c r="B1" t="s">
        <v>15</v>
      </c>
      <c r="C1" t="s">
        <v>68</v>
      </c>
      <c r="D1" s="31" t="s">
        <v>495</v>
      </c>
      <c r="E1" t="s">
        <v>496</v>
      </c>
      <c r="F1" s="31" t="s">
        <v>497</v>
      </c>
      <c r="G1" s="31" t="s">
        <v>498</v>
      </c>
      <c r="H1" s="31" t="s">
        <v>499</v>
      </c>
      <c r="I1" s="31" t="s">
        <v>500</v>
      </c>
      <c r="J1" s="31" t="s">
        <v>501</v>
      </c>
      <c r="K1" s="31" t="s">
        <v>502</v>
      </c>
      <c r="L1" s="31" t="s">
        <v>503</v>
      </c>
      <c r="M1" s="31" t="s">
        <v>504</v>
      </c>
      <c r="N1" s="31" t="s">
        <v>505</v>
      </c>
      <c r="O1" s="31" t="s">
        <v>506</v>
      </c>
      <c r="P1" t="s">
        <v>23</v>
      </c>
      <c r="Q1" t="s">
        <v>507</v>
      </c>
    </row>
    <row r="2" spans="2:17" x14ac:dyDescent="0.3">
      <c r="B2"/>
      <c r="C2"/>
      <c r="E2"/>
      <c r="F2" s="33"/>
      <c r="G2" s="33"/>
      <c r="I2" s="33"/>
      <c r="J2" s="33"/>
      <c r="K2" s="33"/>
      <c r="M2" s="33"/>
      <c r="N2" s="33"/>
      <c r="O2" s="33"/>
      <c r="Q2"/>
    </row>
    <row r="3" spans="2:17" x14ac:dyDescent="0.3">
      <c r="B3"/>
      <c r="C3"/>
      <c r="E3"/>
      <c r="F3" s="33"/>
      <c r="G3" s="33"/>
      <c r="I3" s="33"/>
      <c r="J3" s="33"/>
      <c r="K3" s="33"/>
      <c r="M3" s="33"/>
      <c r="N3" s="33"/>
      <c r="O3" s="33"/>
    </row>
    <row r="4" spans="2:17" x14ac:dyDescent="0.3">
      <c r="B4"/>
      <c r="C4"/>
      <c r="E4"/>
      <c r="F4" s="33"/>
      <c r="G4" s="33"/>
      <c r="I4" s="33"/>
      <c r="J4" s="33"/>
      <c r="K4" s="33"/>
      <c r="M4" s="33"/>
      <c r="N4" s="33"/>
      <c r="O4" s="33"/>
      <c r="Q4"/>
    </row>
    <row r="5" spans="2:17" x14ac:dyDescent="0.3">
      <c r="B5"/>
      <c r="C5"/>
      <c r="E5"/>
      <c r="F5" s="33"/>
      <c r="G5" s="33"/>
      <c r="I5" s="33"/>
      <c r="J5" s="33"/>
      <c r="K5" s="33"/>
      <c r="M5" s="33"/>
      <c r="N5" s="33"/>
      <c r="O5" s="33"/>
      <c r="Q5"/>
    </row>
    <row r="6" spans="2:17" x14ac:dyDescent="0.3">
      <c r="B6"/>
      <c r="C6"/>
      <c r="E6"/>
      <c r="F6" s="33"/>
      <c r="G6" s="33"/>
      <c r="I6" s="33"/>
      <c r="J6" s="33"/>
      <c r="K6" s="33"/>
      <c r="M6" s="33"/>
      <c r="N6" s="33"/>
      <c r="O6" s="33"/>
      <c r="Q6"/>
    </row>
    <row r="7" spans="2:17" x14ac:dyDescent="0.3">
      <c r="B7"/>
      <c r="C7"/>
      <c r="E7"/>
      <c r="F7" s="33"/>
      <c r="G7" s="33"/>
      <c r="H7" s="33"/>
      <c r="I7" s="33"/>
      <c r="J7" s="33"/>
      <c r="K7" s="33"/>
      <c r="L7" s="33"/>
      <c r="M7" s="33"/>
      <c r="N7" s="33"/>
      <c r="O7" s="33"/>
      <c r="P7"/>
      <c r="Q7"/>
    </row>
    <row r="8" spans="2:17" x14ac:dyDescent="0.3">
      <c r="B8"/>
      <c r="C8"/>
      <c r="E8"/>
      <c r="F8" s="33"/>
      <c r="G8" s="33"/>
      <c r="H8" s="33"/>
      <c r="I8" s="33"/>
      <c r="J8" s="33"/>
      <c r="K8" s="33"/>
      <c r="L8" s="33"/>
      <c r="M8" s="33"/>
      <c r="N8" s="33"/>
      <c r="O8" s="33"/>
      <c r="P8"/>
      <c r="Q8"/>
    </row>
    <row r="9" spans="2:17" x14ac:dyDescent="0.3">
      <c r="B9"/>
      <c r="C9"/>
      <c r="E9"/>
      <c r="F9" s="33"/>
      <c r="G9" s="33"/>
      <c r="H9" s="33"/>
      <c r="I9" s="33"/>
      <c r="J9" s="33"/>
      <c r="K9" s="33"/>
      <c r="L9" s="33"/>
      <c r="M9" s="33"/>
      <c r="N9" s="33"/>
      <c r="O9" s="33"/>
      <c r="P9"/>
      <c r="Q9"/>
    </row>
    <row r="10" spans="2:17" x14ac:dyDescent="0.3">
      <c r="B10"/>
      <c r="C10"/>
      <c r="E10"/>
      <c r="F10" s="33"/>
      <c r="G10" s="33"/>
      <c r="H10" s="33"/>
      <c r="I10" s="33"/>
      <c r="J10" s="33"/>
      <c r="K10" s="33"/>
      <c r="L10" s="33"/>
      <c r="M10" s="33"/>
      <c r="N10" s="33"/>
      <c r="O10" s="33"/>
      <c r="P10"/>
      <c r="Q10"/>
    </row>
    <row r="11" spans="2:17" x14ac:dyDescent="0.3">
      <c r="B11"/>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886CF44-BF2A-4D2D-AC93-C34B20A6C1BB}">
          <x14:formula1>
            <xm:f>'4. L4 Fields'!$K:$K</xm:f>
          </x14:formula1>
          <xm:sqref>I1:K1048576 M1:O1048576 H1 H7:H1048576 L1 L7:L1048576</xm:sqref>
        </x14:dataValidation>
        <x14:dataValidation type="list" allowBlank="1" showInputMessage="1" showErrorMessage="1" xr:uid="{6D54FF9D-F337-49FA-A896-2BBCE423FBB8}">
          <x14:formula1>
            <xm:f>'7. Define sys, collect. &amp; datas'!$B:$B</xm:f>
          </x14:formula1>
          <xm:sqref>C2:C1048576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3B21C31-4FF4-4E25-9266-F0ABA776A1D1}">
  <ds:schemaRefs>
    <ds:schemaRef ds:uri="http://purl.org/dc/dcmitype/"/>
    <ds:schemaRef ds:uri="http://purl.org/dc/elements/1.1/"/>
    <ds:schemaRef ds:uri="http://schemas.microsoft.com/office/2006/metadata/properties"/>
    <ds:schemaRef ds:uri="http://schemas.microsoft.com/office/2006/documentManagement/types"/>
    <ds:schemaRef ds:uri="95a2761b-6bae-4427-bd46-7452e4749e80"/>
    <ds:schemaRef ds:uri="http://purl.org/dc/terms/"/>
    <ds:schemaRef ds:uri="http://schemas.microsoft.com/sharepoint/v3/fields"/>
    <ds:schemaRef ds:uri="http://schemas.microsoft.com/office/infopath/2007/PartnerControls"/>
    <ds:schemaRef ds:uri="http://www.w3.org/XML/1998/namespace"/>
    <ds:schemaRef ds:uri="http://schemas.openxmlformats.org/package/2006/metadata/core-properties"/>
    <ds:schemaRef ds:uri="495e38a1-0c24-42a5-986a-c99f97b8ff82"/>
  </ds:schemaRefs>
</ds:datastoreItem>
</file>

<file path=customXml/itemProps3.xml><?xml version="1.0" encoding="utf-8"?>
<ds:datastoreItem xmlns:ds="http://schemas.openxmlformats.org/officeDocument/2006/customXml" ds:itemID="{84A9C940-E29F-4C0C-A12B-338AFDA09985}">
  <ds:schemaRefs>
    <ds:schemaRef ds:uri="http://schemas.microsoft.com/sharepoint/v3/contenttype/forms"/>
  </ds:schemaRefs>
</ds:datastoreItem>
</file>

<file path=customXml/itemProps4.xml><?xml version="1.0" encoding="utf-8"?>
<ds:datastoreItem xmlns:ds="http://schemas.openxmlformats.org/officeDocument/2006/customXml" ds:itemID="{B3FAA992-2867-43AB-9E83-85D29FC278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Stuti Nayak</cp:lastModifiedBy>
  <cp:revision/>
  <dcterms:created xsi:type="dcterms:W3CDTF">2015-06-05T18:17:20Z</dcterms:created>
  <dcterms:modified xsi:type="dcterms:W3CDTF">2025-09-09T13:39:44Z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